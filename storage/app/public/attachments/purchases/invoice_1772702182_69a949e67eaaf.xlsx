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Genta - Denmark\2-3 PANTEX Boys Tee and Hoodie\Boys\Packing List invoice - TS and Hoodie\Excel\"/>
    </mc:Choice>
  </mc:AlternateContent>
  <xr:revisionPtr revIDLastSave="0" documentId="13_ncr:1_{B703E1BD-FDA6-4DBD-838D-61E8A560C4C2}" xr6:coauthVersionLast="47" xr6:coauthVersionMax="47" xr10:uidLastSave="{00000000-0000-0000-0000-000000000000}"/>
  <bookViews>
    <workbookView xWindow="-110" yWindow="-110" windowWidth="19420" windowHeight="10300" tabRatio="584" firstSheet="1" activeTab="1" xr2:uid="{8AB195B9-815C-4722-B4E7-A296D14080D1}"/>
  </bookViews>
  <sheets>
    <sheet name="PO # 5885202" sheetId="87" state="hidden" r:id="rId1"/>
    <sheet name="BOYES T-SHIRT" sheetId="92" r:id="rId2"/>
  </sheets>
  <definedNames>
    <definedName name="_xlnm.Print_Area" localSheetId="1">'BOYES T-SHIRT'!$A$1:$M$102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1" i="92" l="1"/>
  <c r="C95" i="92"/>
  <c r="J94" i="92"/>
  <c r="K94" i="92" s="1"/>
  <c r="L94" i="92" s="1"/>
  <c r="M94" i="92" s="1"/>
  <c r="J93" i="92"/>
  <c r="K93" i="92" s="1"/>
  <c r="L93" i="92" s="1"/>
  <c r="M93" i="92" s="1"/>
  <c r="J92" i="92"/>
  <c r="K92" i="92" s="1"/>
  <c r="L92" i="92" s="1"/>
  <c r="M92" i="92" s="1"/>
  <c r="J91" i="92"/>
  <c r="K91" i="92" s="1"/>
  <c r="L91" i="92" s="1"/>
  <c r="M91" i="92" s="1"/>
  <c r="J90" i="92"/>
  <c r="K90" i="92" s="1"/>
  <c r="L90" i="92" s="1"/>
  <c r="M90" i="92" s="1"/>
  <c r="J89" i="92"/>
  <c r="K89" i="92" s="1"/>
  <c r="L89" i="92" s="1"/>
  <c r="M89" i="92" s="1"/>
  <c r="J88" i="92"/>
  <c r="K88" i="92" s="1"/>
  <c r="C87" i="92"/>
  <c r="J86" i="92"/>
  <c r="K86" i="92" s="1"/>
  <c r="L86" i="92" s="1"/>
  <c r="M86" i="92" s="1"/>
  <c r="J85" i="92"/>
  <c r="K85" i="92" s="1"/>
  <c r="L85" i="92" s="1"/>
  <c r="M85" i="92" s="1"/>
  <c r="J84" i="92"/>
  <c r="K84" i="92" s="1"/>
  <c r="L84" i="92" s="1"/>
  <c r="M84" i="92" s="1"/>
  <c r="J83" i="92"/>
  <c r="K83" i="92" s="1"/>
  <c r="L83" i="92" s="1"/>
  <c r="M83" i="92" s="1"/>
  <c r="J82" i="92"/>
  <c r="K82" i="92" s="1"/>
  <c r="L82" i="92" s="1"/>
  <c r="M82" i="92" s="1"/>
  <c r="J81" i="92"/>
  <c r="K81" i="92" s="1"/>
  <c r="C80" i="92"/>
  <c r="J79" i="92"/>
  <c r="K79" i="92" s="1"/>
  <c r="L79" i="92" s="1"/>
  <c r="M79" i="92" s="1"/>
  <c r="J78" i="92"/>
  <c r="K78" i="92" s="1"/>
  <c r="L78" i="92" s="1"/>
  <c r="M78" i="92" s="1"/>
  <c r="J77" i="92"/>
  <c r="K77" i="92" s="1"/>
  <c r="L77" i="92" s="1"/>
  <c r="M77" i="92" s="1"/>
  <c r="J76" i="92"/>
  <c r="K76" i="92" s="1"/>
  <c r="L76" i="92" s="1"/>
  <c r="M76" i="92" s="1"/>
  <c r="J75" i="92"/>
  <c r="K75" i="92" s="1"/>
  <c r="L75" i="92" s="1"/>
  <c r="J74" i="92"/>
  <c r="K74" i="92" s="1"/>
  <c r="L74" i="92" s="1"/>
  <c r="M74" i="92" s="1"/>
  <c r="C73" i="92"/>
  <c r="J72" i="92"/>
  <c r="K72" i="92" s="1"/>
  <c r="L72" i="92" s="1"/>
  <c r="M72" i="92" s="1"/>
  <c r="J71" i="92"/>
  <c r="K71" i="92" s="1"/>
  <c r="L71" i="92" s="1"/>
  <c r="M71" i="92" s="1"/>
  <c r="J70" i="92"/>
  <c r="K70" i="92" s="1"/>
  <c r="L70" i="92" s="1"/>
  <c r="M70" i="92" s="1"/>
  <c r="J69" i="92"/>
  <c r="K69" i="92" s="1"/>
  <c r="L69" i="92" s="1"/>
  <c r="M69" i="92" s="1"/>
  <c r="J68" i="92"/>
  <c r="K68" i="92" s="1"/>
  <c r="L68" i="92" s="1"/>
  <c r="J67" i="92"/>
  <c r="K67" i="92" s="1"/>
  <c r="L67" i="92" s="1"/>
  <c r="M67" i="92" s="1"/>
  <c r="C66" i="92"/>
  <c r="J65" i="92"/>
  <c r="K65" i="92" s="1"/>
  <c r="L65" i="92" s="1"/>
  <c r="M65" i="92" s="1"/>
  <c r="J64" i="92"/>
  <c r="K64" i="92" s="1"/>
  <c r="L64" i="92" s="1"/>
  <c r="M64" i="92" s="1"/>
  <c r="J63" i="92"/>
  <c r="K63" i="92" s="1"/>
  <c r="L63" i="92" s="1"/>
  <c r="M63" i="92" s="1"/>
  <c r="J62" i="92"/>
  <c r="K62" i="92" s="1"/>
  <c r="L62" i="92" s="1"/>
  <c r="M62" i="92" s="1"/>
  <c r="J61" i="92"/>
  <c r="K61" i="92" s="1"/>
  <c r="L61" i="92" s="1"/>
  <c r="M61" i="92" s="1"/>
  <c r="J60" i="92"/>
  <c r="K60" i="92" s="1"/>
  <c r="L60" i="92" s="1"/>
  <c r="M60" i="92" s="1"/>
  <c r="C50" i="92"/>
  <c r="J49" i="92"/>
  <c r="K49" i="92" s="1"/>
  <c r="L49" i="92" s="1"/>
  <c r="M49" i="92" s="1"/>
  <c r="J48" i="92"/>
  <c r="K48" i="92" s="1"/>
  <c r="L48" i="92" s="1"/>
  <c r="M48" i="92" s="1"/>
  <c r="J47" i="92"/>
  <c r="K47" i="92" s="1"/>
  <c r="L47" i="92" s="1"/>
  <c r="M47" i="92" s="1"/>
  <c r="J46" i="92"/>
  <c r="K46" i="92" s="1"/>
  <c r="L46" i="92" s="1"/>
  <c r="M46" i="92" s="1"/>
  <c r="J45" i="92"/>
  <c r="K45" i="92" s="1"/>
  <c r="L45" i="92" s="1"/>
  <c r="M45" i="92" s="1"/>
  <c r="J44" i="92"/>
  <c r="K44" i="92" s="1"/>
  <c r="L44" i="92" s="1"/>
  <c r="M44" i="92" s="1"/>
  <c r="C42" i="92"/>
  <c r="J41" i="92"/>
  <c r="K41" i="92" s="1"/>
  <c r="L41" i="92" s="1"/>
  <c r="M41" i="92" s="1"/>
  <c r="J40" i="92"/>
  <c r="K40" i="92" s="1"/>
  <c r="L40" i="92" s="1"/>
  <c r="M40" i="92" s="1"/>
  <c r="J39" i="92"/>
  <c r="K39" i="92" s="1"/>
  <c r="L39" i="92" s="1"/>
  <c r="M39" i="92" s="1"/>
  <c r="J38" i="92"/>
  <c r="K38" i="92" s="1"/>
  <c r="L38" i="92" s="1"/>
  <c r="M38" i="92" s="1"/>
  <c r="J37" i="92"/>
  <c r="K37" i="92" s="1"/>
  <c r="L37" i="92" s="1"/>
  <c r="M37" i="92" s="1"/>
  <c r="J36" i="92"/>
  <c r="K36" i="92" s="1"/>
  <c r="C33" i="92"/>
  <c r="J32" i="92"/>
  <c r="K32" i="92" s="1"/>
  <c r="L32" i="92" s="1"/>
  <c r="M32" i="92" s="1"/>
  <c r="J31" i="92"/>
  <c r="K31" i="92" s="1"/>
  <c r="L31" i="92" s="1"/>
  <c r="M31" i="92" s="1"/>
  <c r="J30" i="92"/>
  <c r="K30" i="92" s="1"/>
  <c r="L30" i="92" s="1"/>
  <c r="M30" i="92" s="1"/>
  <c r="J29" i="92"/>
  <c r="K29" i="92" s="1"/>
  <c r="L29" i="92" s="1"/>
  <c r="M29" i="92" s="1"/>
  <c r="J28" i="92"/>
  <c r="K28" i="92" s="1"/>
  <c r="J27" i="92"/>
  <c r="K27" i="92" s="1"/>
  <c r="L27" i="92" s="1"/>
  <c r="M27" i="92" s="1"/>
  <c r="C25" i="92"/>
  <c r="J24" i="92"/>
  <c r="K24" i="92" s="1"/>
  <c r="L24" i="92" s="1"/>
  <c r="M24" i="92" s="1"/>
  <c r="J23" i="92"/>
  <c r="K23" i="92" s="1"/>
  <c r="L23" i="92" s="1"/>
  <c r="M23" i="92" s="1"/>
  <c r="J22" i="92"/>
  <c r="K22" i="92" s="1"/>
  <c r="L22" i="92" s="1"/>
  <c r="M22" i="92" s="1"/>
  <c r="J21" i="92"/>
  <c r="K21" i="92" s="1"/>
  <c r="L21" i="92" s="1"/>
  <c r="M21" i="92" s="1"/>
  <c r="J20" i="92"/>
  <c r="K20" i="92" s="1"/>
  <c r="L20" i="92" s="1"/>
  <c r="M20" i="92" s="1"/>
  <c r="J19" i="92"/>
  <c r="K19" i="92" s="1"/>
  <c r="L19" i="92" s="1"/>
  <c r="C17" i="92"/>
  <c r="J16" i="92"/>
  <c r="K16" i="92" s="1"/>
  <c r="L16" i="92" s="1"/>
  <c r="M16" i="92" s="1"/>
  <c r="J15" i="92"/>
  <c r="K15" i="92" s="1"/>
  <c r="L15" i="92" s="1"/>
  <c r="M15" i="92" s="1"/>
  <c r="J14" i="92"/>
  <c r="K14" i="92" s="1"/>
  <c r="L14" i="92" s="1"/>
  <c r="M14" i="92" s="1"/>
  <c r="J13" i="92"/>
  <c r="K13" i="92" s="1"/>
  <c r="L13" i="92" s="1"/>
  <c r="M13" i="92" s="1"/>
  <c r="J12" i="92"/>
  <c r="K12" i="92" s="1"/>
  <c r="L12" i="92" s="1"/>
  <c r="M12" i="92" s="1"/>
  <c r="J11" i="92"/>
  <c r="K11" i="92" s="1"/>
  <c r="I8" i="87"/>
  <c r="L8" i="87"/>
  <c r="O8" i="87"/>
  <c r="Q8" i="87"/>
  <c r="Q13" i="87" s="1"/>
  <c r="R8" i="87"/>
  <c r="Z8" i="87"/>
  <c r="I9" i="87"/>
  <c r="V8" i="87" s="1"/>
  <c r="V13" i="87" s="1"/>
  <c r="L9" i="87"/>
  <c r="T9" i="87" s="1"/>
  <c r="O9" i="87"/>
  <c r="Q9" i="87" s="1"/>
  <c r="R9" i="87"/>
  <c r="Z9" i="87"/>
  <c r="I10" i="87"/>
  <c r="L10" i="87"/>
  <c r="U10" i="87" s="1"/>
  <c r="T10" i="87"/>
  <c r="O10" i="87"/>
  <c r="Q10" i="87" s="1"/>
  <c r="R10" i="87"/>
  <c r="Z10" i="87"/>
  <c r="I11" i="87"/>
  <c r="L11" i="87"/>
  <c r="T11" i="87"/>
  <c r="U11" i="87"/>
  <c r="O11" i="87"/>
  <c r="Q11" i="87" s="1"/>
  <c r="R11" i="87"/>
  <c r="Z11" i="87"/>
  <c r="I12" i="87"/>
  <c r="L12" i="87"/>
  <c r="O12" i="87"/>
  <c r="Q12" i="87"/>
  <c r="R12" i="87"/>
  <c r="Z12" i="87"/>
  <c r="Z13" i="87" s="1"/>
  <c r="G13" i="87"/>
  <c r="J13" i="87"/>
  <c r="R13" i="87"/>
  <c r="T8" i="87"/>
  <c r="K33" i="92" l="1"/>
  <c r="L28" i="92"/>
  <c r="M28" i="92" s="1"/>
  <c r="M33" i="92" s="1"/>
  <c r="M66" i="92"/>
  <c r="K42" i="92"/>
  <c r="L36" i="92"/>
  <c r="M36" i="92" s="1"/>
  <c r="M42" i="92" s="1"/>
  <c r="M68" i="92"/>
  <c r="M73" i="92" s="1"/>
  <c r="L73" i="92"/>
  <c r="M50" i="92"/>
  <c r="C96" i="92"/>
  <c r="E102" i="92" s="1"/>
  <c r="M19" i="92"/>
  <c r="M25" i="92" s="1"/>
  <c r="L25" i="92"/>
  <c r="M75" i="92"/>
  <c r="M80" i="92" s="1"/>
  <c r="L80" i="92"/>
  <c r="K25" i="92"/>
  <c r="K80" i="92"/>
  <c r="L50" i="92"/>
  <c r="L81" i="92"/>
  <c r="K87" i="92"/>
  <c r="L88" i="92"/>
  <c r="K95" i="92"/>
  <c r="K17" i="92"/>
  <c r="L11" i="92"/>
  <c r="T12" i="87"/>
  <c r="U12" i="87"/>
  <c r="L13" i="87"/>
  <c r="L66" i="92"/>
  <c r="U9" i="87"/>
  <c r="W8" i="87"/>
  <c r="K50" i="92"/>
  <c r="K66" i="92"/>
  <c r="U8" i="87"/>
  <c r="K73" i="92"/>
  <c r="L33" i="92" l="1"/>
  <c r="L42" i="92"/>
  <c r="M88" i="92"/>
  <c r="M95" i="92" s="1"/>
  <c r="L95" i="92"/>
  <c r="M81" i="92"/>
  <c r="M87" i="92" s="1"/>
  <c r="L87" i="92"/>
  <c r="X8" i="87"/>
  <c r="W13" i="87"/>
  <c r="L17" i="92"/>
  <c r="M11" i="92"/>
  <c r="M17" i="92" s="1"/>
  <c r="K96" i="92"/>
  <c r="L96" i="92" l="1"/>
  <c r="E99" i="92" s="1"/>
  <c r="X13" i="87"/>
  <c r="Y8" i="87"/>
  <c r="E98" i="92"/>
  <c r="E8" i="92" s="1"/>
  <c r="M96" i="92"/>
  <c r="E100" i="92" s="1"/>
</calcChain>
</file>

<file path=xl/sharedStrings.xml><?xml version="1.0" encoding="utf-8"?>
<sst xmlns="http://schemas.openxmlformats.org/spreadsheetml/2006/main" count="171" uniqueCount="149">
  <si>
    <t>TOTAL</t>
  </si>
  <si>
    <t xml:space="preserve"> </t>
  </si>
  <si>
    <t>TOTAL CBM</t>
  </si>
  <si>
    <t>CBM</t>
  </si>
  <si>
    <t>PCS</t>
  </si>
  <si>
    <t>KGS</t>
  </si>
  <si>
    <t>Color</t>
  </si>
  <si>
    <t>FINAL PACKING LIST -CUSTOMER RENNER</t>
  </si>
  <si>
    <t>POO_SS26_OUT_0003</t>
  </si>
  <si>
    <t>Bistro Green 19-5408 tcx</t>
  </si>
  <si>
    <t>01</t>
  </si>
  <si>
    <t>02</t>
  </si>
  <si>
    <t>03</t>
  </si>
  <si>
    <t>04</t>
  </si>
  <si>
    <t>5-6</t>
  </si>
  <si>
    <t>PANTEX DRESS  LTD.</t>
  </si>
  <si>
    <t>Plot #56.Hariharpare,Enayetnagar,Fatullah.Narayangong-1420</t>
  </si>
  <si>
    <t> Style </t>
  </si>
  <si>
    <t> PO</t>
  </si>
  <si>
    <t>PACK TYPE</t>
  </si>
  <si>
    <t>SIZE</t>
  </si>
  <si>
    <t>SIZE / ITEM NO.</t>
  </si>
  <si>
    <t>PO PACKING WAY</t>
  </si>
  <si>
    <t>NEED TO CHANGE</t>
  </si>
  <si>
    <t>REQUESTED CARTON DIMENSION</t>
  </si>
  <si>
    <t>Remarks</t>
  </si>
  <si>
    <t>Short /Excess</t>
  </si>
  <si>
    <t>Percentage</t>
  </si>
  <si>
    <t>Master Carton(s)</t>
  </si>
  <si>
    <t>Pieces</t>
  </si>
  <si>
    <t>Total Pieces</t>
  </si>
  <si>
    <t>MODEL</t>
  </si>
  <si>
    <t>L X W X H (CM)</t>
  </si>
  <si>
    <t>Appx Gross Wt/Kgs</t>
  </si>
  <si>
    <t>ORDER</t>
  </si>
  <si>
    <t>NEW</t>
  </si>
  <si>
    <t>Short / Excess</t>
  </si>
  <si>
    <t>SKU</t>
  </si>
  <si>
    <t xml:space="preserve">53 x 37 x 27 </t>
  </si>
  <si>
    <t>Total qty</t>
  </si>
  <si>
    <t>Appx NET Wt/Kgs</t>
  </si>
  <si>
    <t>NET WT</t>
  </si>
  <si>
    <t>GROSS WT</t>
  </si>
  <si>
    <t>WEIGHT</t>
  </si>
  <si>
    <t>COLOR</t>
  </si>
  <si>
    <t>PACKING LIST</t>
  </si>
  <si>
    <t xml:space="preserve">Copenhagen Tourist Point,Trommesalen </t>
  </si>
  <si>
    <t>STYLE NO :</t>
  </si>
  <si>
    <t>ORDER QTY :</t>
  </si>
  <si>
    <t>SHIPMENT QTY :</t>
  </si>
  <si>
    <t>CTN         QTY</t>
  </si>
  <si>
    <t>CTN NO.</t>
  </si>
  <si>
    <t xml:space="preserve">SIZE </t>
  </si>
  <si>
    <t>TOTAL  PCS</t>
  </si>
  <si>
    <t>N.W(KG)</t>
  </si>
  <si>
    <t>G.W(KG)</t>
  </si>
  <si>
    <t>4/5Y</t>
  </si>
  <si>
    <t>ORDER QTY</t>
  </si>
  <si>
    <t>SHIPMENT QTY</t>
  </si>
  <si>
    <t>TOTAL NET.WT</t>
  </si>
  <si>
    <t>TOTAL GROSS.WT</t>
  </si>
  <si>
    <t>TOTAL CTN</t>
  </si>
  <si>
    <t xml:space="preserve">PANTEX DRESS LTD                                                                                                                                                                                                                         Plot #56. Hariharpare ,Enayetnagar,Fatullah.Narayangonj-1420               </t>
  </si>
  <si>
    <t>12-12</t>
  </si>
  <si>
    <t>11-11</t>
  </si>
  <si>
    <t>CTN</t>
  </si>
  <si>
    <t>46-47</t>
  </si>
  <si>
    <t>10-10</t>
  </si>
  <si>
    <t>21-21</t>
  </si>
  <si>
    <t>22-22</t>
  </si>
  <si>
    <t>23-23</t>
  </si>
  <si>
    <t>GRAND TOTAL</t>
  </si>
  <si>
    <t>2509BCT001</t>
  </si>
  <si>
    <t>50 CM X 30CM X 20 CM</t>
  </si>
  <si>
    <t>5000 PCS</t>
  </si>
  <si>
    <t>DATE : 20-JAN-26</t>
  </si>
  <si>
    <t>6/7Y</t>
  </si>
  <si>
    <t>8/9Y</t>
  </si>
  <si>
    <t>10/11Y</t>
  </si>
  <si>
    <t>12/13Y</t>
  </si>
  <si>
    <t>OATMEAL(LOVE)</t>
  </si>
  <si>
    <t>1-1</t>
  </si>
  <si>
    <t>2-3</t>
  </si>
  <si>
    <t>4-6</t>
  </si>
  <si>
    <t>7-9</t>
  </si>
  <si>
    <t>13-14</t>
  </si>
  <si>
    <t>15-17</t>
  </si>
  <si>
    <t>18-20</t>
  </si>
  <si>
    <t>24-25</t>
  </si>
  <si>
    <t>26-28</t>
  </si>
  <si>
    <t>29-31</t>
  </si>
  <si>
    <t>32-32</t>
  </si>
  <si>
    <t>33-33</t>
  </si>
  <si>
    <t>34-34</t>
  </si>
  <si>
    <t>35-36</t>
  </si>
  <si>
    <t>37-39</t>
  </si>
  <si>
    <t>40-42</t>
  </si>
  <si>
    <t>43-43</t>
  </si>
  <si>
    <t>44-44</t>
  </si>
  <si>
    <t>45-45</t>
  </si>
  <si>
    <t>48-50</t>
  </si>
  <si>
    <t>51-53</t>
  </si>
  <si>
    <t>54-54</t>
  </si>
  <si>
    <t>55-55</t>
  </si>
  <si>
    <t>56-56</t>
  </si>
  <si>
    <t>57-58</t>
  </si>
  <si>
    <t>59-61</t>
  </si>
  <si>
    <t>62-64</t>
  </si>
  <si>
    <t>65-65</t>
  </si>
  <si>
    <t>66-66</t>
  </si>
  <si>
    <t>67-67</t>
  </si>
  <si>
    <t>68-69</t>
  </si>
  <si>
    <t>70-72</t>
  </si>
  <si>
    <t>73-75</t>
  </si>
  <si>
    <t>76-76</t>
  </si>
  <si>
    <t>77-77</t>
  </si>
  <si>
    <t>78-78</t>
  </si>
  <si>
    <t>79-80</t>
  </si>
  <si>
    <t>81-83</t>
  </si>
  <si>
    <t>84-86</t>
  </si>
  <si>
    <t>87-87</t>
  </si>
  <si>
    <t>88-88</t>
  </si>
  <si>
    <t>89-89</t>
  </si>
  <si>
    <t>90-91</t>
  </si>
  <si>
    <t>92-94</t>
  </si>
  <si>
    <t>95-97</t>
  </si>
  <si>
    <t>98-98</t>
  </si>
  <si>
    <t>99-99</t>
  </si>
  <si>
    <t>100-100</t>
  </si>
  <si>
    <t>101-102</t>
  </si>
  <si>
    <t>103-104</t>
  </si>
  <si>
    <t>105-105</t>
  </si>
  <si>
    <t>106-108</t>
  </si>
  <si>
    <t>109-109</t>
  </si>
  <si>
    <t>110-110</t>
  </si>
  <si>
    <r>
      <t>BCT-180-2501 (</t>
    </r>
    <r>
      <rPr>
        <b/>
        <sz val="14"/>
        <color rgb="FF0070C0"/>
        <rFont val="Calibri"/>
        <family val="2"/>
        <scheme val="minor"/>
      </rPr>
      <t>BOYES T-SHIRT</t>
    </r>
    <r>
      <rPr>
        <b/>
        <sz val="14"/>
        <color indexed="8"/>
        <rFont val="Calibri"/>
        <family val="2"/>
        <scheme val="minor"/>
      </rPr>
      <t>)</t>
    </r>
  </si>
  <si>
    <t>BUYER :</t>
  </si>
  <si>
    <t>ORDER NO :</t>
  </si>
  <si>
    <t>CTN MEASURMENT :</t>
  </si>
  <si>
    <t>Picture</t>
  </si>
  <si>
    <t>BLUE (LOVE)</t>
  </si>
  <si>
    <t>BLACK (LOVE)</t>
  </si>
  <si>
    <t>GREEN (LOVE)</t>
  </si>
  <si>
    <t>OATMEAL 
(BI-CYCLE)</t>
  </si>
  <si>
    <t>GREEN 
(BI-CYCLE)</t>
  </si>
  <si>
    <t>GREY (VIKINGS)</t>
  </si>
  <si>
    <t>BLUE (VIKINGS)</t>
  </si>
  <si>
    <t>GREY (BI-CYCLE)</t>
  </si>
  <si>
    <t>BLACK (BI-CYCLE)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</si>
</sst>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5" formatCode="&quot;$&quot;#,##0_);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.00_-;\-&quot;£&quot;* #,##0.00_-;_-&quot;£&quot;* &quot;-&quot;??_-;_-@_-"/>
    <numFmt numFmtId="167" formatCode="0.00000&quot;kgs&quot;"/>
    <numFmt numFmtId="168" formatCode="#,##0\ &quot;PCS&quot;"/>
    <numFmt numFmtId="169" formatCode="0.0"/>
    <numFmt numFmtId="170" formatCode="&quot;$&quot;#,##0.0000_);\(&quot;$&quot;#,##0.0000\)"/>
    <numFmt numFmtId="171" formatCode="_(* #,##0.0_);_(* \(#,##0.00\);_(* &quot;-&quot;??_);_(@_)"/>
    <numFmt numFmtId="172" formatCode="General_)"/>
    <numFmt numFmtId="173" formatCode="&quot;$&quot;#,##0.000"/>
    <numFmt numFmtId="174" formatCode="#,##0.0_);\(#,##0.0\)"/>
    <numFmt numFmtId="175" formatCode="#,##0.000_);\(#,##0.000\)"/>
    <numFmt numFmtId="176" formatCode="&quot;$&quot;#,\);\(&quot;$&quot;#,##0\)"/>
    <numFmt numFmtId="177" formatCode="_-* #,##0\ _F_-;\-* #,##0\ _F_-;_-* &quot;-&quot;\ _F_-;_-@_-"/>
    <numFmt numFmtId="178" formatCode="_-* #,##0.00\ _F_-;\-* #,##0.00\ _F_-;_-* &quot;-&quot;??\ _F_-;_-@_-"/>
    <numFmt numFmtId="179" formatCode="#,##0.0;[Red]\-#,##0.0"/>
    <numFmt numFmtId="180" formatCode="_-* #,##0\ &quot;F&quot;_-;\-* #,##0\ &quot;F&quot;_-;_-* &quot;-&quot;\ &quot;F&quot;_-;_-@_-"/>
    <numFmt numFmtId="181" formatCode="_-* #,##0.00\ &quot;F&quot;_-;\-* #,##0.00\ &quot;F&quot;_-;_-* &quot;-&quot;??\ &quot;F&quot;_-;_-@_-"/>
    <numFmt numFmtId="182" formatCode="0.00_)"/>
    <numFmt numFmtId="183" formatCode="\60\4\7\:"/>
    <numFmt numFmtId="184" formatCode="mm/dd/yy"/>
    <numFmt numFmtId="185" formatCode="0_)"/>
    <numFmt numFmtId="186" formatCode="&quot;L&quot;#,##0_);[Red]\(&quot;L&quot;#,##0\)"/>
    <numFmt numFmtId="187" formatCode="&quot;$&quot;#,\);\(&quot;$&quot;#,\)"/>
    <numFmt numFmtId="188" formatCode="&quot;$&quot;#,;\(&quot;$&quot;#,\)"/>
    <numFmt numFmtId="189" formatCode="#,##0\ &quot;CTN&quot;"/>
  </numFmts>
  <fonts count="92">
    <font>
      <sz val="11"/>
      <name val="돋움"/>
      <charset val="129"/>
    </font>
    <font>
      <sz val="11"/>
      <color indexed="8"/>
      <name val="Calibri"/>
      <family val="2"/>
    </font>
    <font>
      <sz val="11"/>
      <name val="돋움"/>
      <charset val="129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u/>
      <sz val="11"/>
      <color indexed="12"/>
      <name val="돋움"/>
      <charset val="129"/>
    </font>
    <font>
      <u/>
      <sz val="12"/>
      <color indexed="20"/>
      <name val="·s²Ó©úÅé"/>
      <family val="2"/>
      <charset val="136"/>
    </font>
    <font>
      <u/>
      <sz val="12"/>
      <color indexed="12"/>
      <name val="·s²Ó©úÅé"/>
      <family val="2"/>
      <charset val="136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8"/>
      <name val="Times New Roman"/>
      <family val="1"/>
    </font>
    <font>
      <sz val="9"/>
      <name val="Times New Roman"/>
      <family val="1"/>
    </font>
    <font>
      <sz val="10"/>
      <name val="Courier"/>
      <family val="3"/>
    </font>
    <font>
      <sz val="10"/>
      <name val="Times New Roman"/>
      <family val="1"/>
    </font>
    <font>
      <sz val="10"/>
      <name val="MS Serif"/>
      <family val="1"/>
    </font>
    <font>
      <sz val="10"/>
      <color indexed="8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sz val="12"/>
      <name val="Helv"/>
    </font>
    <font>
      <sz val="12"/>
      <color indexed="9"/>
      <name val="Helv"/>
    </font>
    <font>
      <b/>
      <i/>
      <sz val="16"/>
      <name val="Helv"/>
    </font>
    <font>
      <sz val="10"/>
      <name val="Arial"/>
      <family val="2"/>
    </font>
    <font>
      <sz val="10"/>
      <color indexed="8"/>
      <name val="MS Sans Serif"/>
      <family val="2"/>
    </font>
    <font>
      <sz val="10"/>
      <name val="Tms Rmn"/>
    </font>
    <font>
      <sz val="8"/>
      <name val="Helv"/>
    </font>
    <font>
      <b/>
      <sz val="8"/>
      <color indexed="8"/>
      <name val="Helv"/>
    </font>
    <font>
      <sz val="12"/>
      <color indexed="60"/>
      <name val="新細明體"/>
      <family val="1"/>
      <charset val="136"/>
    </font>
    <font>
      <sz val="12"/>
      <name val="Times New Roman"/>
      <family val="1"/>
    </font>
    <font>
      <b/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name val="宋体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1"/>
      <name val="DengXian"/>
      <charset val="134"/>
    </font>
    <font>
      <b/>
      <sz val="12"/>
      <name val="DengXian"/>
      <charset val="134"/>
    </font>
    <font>
      <sz val="11"/>
      <name val="DengXian"/>
      <charset val="134"/>
    </font>
    <font>
      <b/>
      <sz val="9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000000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4"/>
      <color rgb="FF0070C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5E0B3"/>
        <bgColor indexed="64"/>
      </patternFill>
    </fill>
  </fills>
  <borders count="4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755">
    <xf numFmtId="0" fontId="0" fillId="0" borderId="0"/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4" fillId="2" borderId="0" applyNumberFormat="0" applyBorder="0" applyAlignment="0" applyProtection="0"/>
    <xf numFmtId="0" fontId="70" fillId="28" borderId="0" applyNumberFormat="0" applyBorder="0" applyAlignment="0" applyProtection="0"/>
    <xf numFmtId="0" fontId="1" fillId="2" borderId="0" applyNumberFormat="0" applyBorder="0" applyAlignment="0" applyProtection="0"/>
    <xf numFmtId="0" fontId="4" fillId="3" borderId="0" applyNumberFormat="0" applyBorder="0" applyAlignment="0" applyProtection="0"/>
    <xf numFmtId="0" fontId="70" fillId="29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  <xf numFmtId="0" fontId="70" fillId="30" borderId="0" applyNumberFormat="0" applyBorder="0" applyAlignment="0" applyProtection="0"/>
    <xf numFmtId="0" fontId="1" fillId="4" borderId="0" applyNumberFormat="0" applyBorder="0" applyAlignment="0" applyProtection="0"/>
    <xf numFmtId="0" fontId="4" fillId="5" borderId="0" applyNumberFormat="0" applyBorder="0" applyAlignment="0" applyProtection="0"/>
    <xf numFmtId="0" fontId="70" fillId="31" borderId="0" applyNumberFormat="0" applyBorder="0" applyAlignment="0" applyProtection="0"/>
    <xf numFmtId="0" fontId="1" fillId="5" borderId="0" applyNumberFormat="0" applyBorder="0" applyAlignment="0" applyProtection="0"/>
    <xf numFmtId="0" fontId="4" fillId="6" borderId="0" applyNumberFormat="0" applyBorder="0" applyAlignment="0" applyProtection="0"/>
    <xf numFmtId="0" fontId="70" fillId="32" borderId="0" applyNumberFormat="0" applyBorder="0" applyAlignment="0" applyProtection="0"/>
    <xf numFmtId="0" fontId="1" fillId="6" borderId="0" applyNumberFormat="0" applyBorder="0" applyAlignment="0" applyProtection="0"/>
    <xf numFmtId="0" fontId="4" fillId="7" borderId="0" applyNumberFormat="0" applyBorder="0" applyAlignment="0" applyProtection="0"/>
    <xf numFmtId="0" fontId="70" fillId="33" borderId="0" applyNumberFormat="0" applyBorder="0" applyAlignment="0" applyProtection="0"/>
    <xf numFmtId="0" fontId="1" fillId="7" borderId="0" applyNumberFormat="0" applyBorder="0" applyAlignment="0" applyProtection="0"/>
    <xf numFmtId="0" fontId="27" fillId="2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/>
    <xf numFmtId="0" fontId="70" fillId="34" borderId="0" applyNumberFormat="0" applyBorder="0" applyAlignment="0" applyProtection="0"/>
    <xf numFmtId="0" fontId="1" fillId="8" borderId="0" applyNumberFormat="0" applyBorder="0" applyAlignment="0" applyProtection="0"/>
    <xf numFmtId="0" fontId="4" fillId="9" borderId="0" applyNumberFormat="0" applyBorder="0" applyAlignment="0" applyProtection="0"/>
    <xf numFmtId="0" fontId="70" fillId="35" borderId="0" applyNumberFormat="0" applyBorder="0" applyAlignment="0" applyProtection="0"/>
    <xf numFmtId="0" fontId="1" fillId="9" borderId="0" applyNumberFormat="0" applyBorder="0" applyAlignment="0" applyProtection="0"/>
    <xf numFmtId="0" fontId="4" fillId="10" borderId="0" applyNumberFormat="0" applyBorder="0" applyAlignment="0" applyProtection="0"/>
    <xf numFmtId="0" fontId="70" fillId="36" borderId="0" applyNumberFormat="0" applyBorder="0" applyAlignment="0" applyProtection="0"/>
    <xf numFmtId="0" fontId="1" fillId="10" borderId="0" applyNumberFormat="0" applyBorder="0" applyAlignment="0" applyProtection="0"/>
    <xf numFmtId="0" fontId="4" fillId="5" borderId="0" applyNumberFormat="0" applyBorder="0" applyAlignment="0" applyProtection="0"/>
    <xf numFmtId="0" fontId="70" fillId="37" borderId="0" applyNumberFormat="0" applyBorder="0" applyAlignment="0" applyProtection="0"/>
    <xf numFmtId="0" fontId="1" fillId="5" borderId="0" applyNumberFormat="0" applyBorder="0" applyAlignment="0" applyProtection="0"/>
    <xf numFmtId="0" fontId="4" fillId="8" borderId="0" applyNumberFormat="0" applyBorder="0" applyAlignment="0" applyProtection="0"/>
    <xf numFmtId="0" fontId="70" fillId="38" borderId="0" applyNumberFormat="0" applyBorder="0" applyAlignment="0" applyProtection="0"/>
    <xf numFmtId="0" fontId="1" fillId="8" borderId="0" applyNumberFormat="0" applyBorder="0" applyAlignment="0" applyProtection="0"/>
    <xf numFmtId="0" fontId="4" fillId="11" borderId="0" applyNumberFormat="0" applyBorder="0" applyAlignment="0" applyProtection="0"/>
    <xf numFmtId="0" fontId="70" fillId="39" borderId="0" applyNumberFormat="0" applyBorder="0" applyAlignment="0" applyProtection="0"/>
    <xf numFmtId="0" fontId="1" fillId="11" borderId="0" applyNumberFormat="0" applyBorder="0" applyAlignment="0" applyProtection="0"/>
    <xf numFmtId="0" fontId="27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28" fillId="12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29" fillId="0" borderId="0">
      <alignment horizontal="center" wrapText="1"/>
      <protection locked="0"/>
    </xf>
    <xf numFmtId="0" fontId="16" fillId="3" borderId="0" applyNumberFormat="0" applyBorder="0" applyAlignment="0" applyProtection="0"/>
    <xf numFmtId="0" fontId="6" fillId="20" borderId="1" applyNumberFormat="0" applyAlignment="0" applyProtection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1" fontId="30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0" fontId="3" fillId="0" borderId="0" applyFill="0" applyBorder="0" applyAlignment="0"/>
    <xf numFmtId="172" fontId="30" fillId="0" borderId="0" applyFill="0" applyBorder="0" applyAlignment="0"/>
    <xf numFmtId="173" fontId="30" fillId="0" borderId="0" applyFill="0" applyBorder="0" applyAlignment="0"/>
    <xf numFmtId="174" fontId="31" fillId="0" borderId="0" applyFill="0" applyBorder="0" applyAlignment="0"/>
    <xf numFmtId="175" fontId="31" fillId="0" borderId="0" applyFill="0" applyBorder="0" applyAlignment="0"/>
    <xf numFmtId="171" fontId="30" fillId="0" borderId="0" applyFill="0" applyBorder="0" applyAlignment="0"/>
    <xf numFmtId="176" fontId="31" fillId="0" borderId="0" applyFill="0" applyBorder="0" applyAlignment="0"/>
    <xf numFmtId="172" fontId="30" fillId="0" borderId="0" applyFill="0" applyBorder="0" applyAlignment="0"/>
    <xf numFmtId="0" fontId="6" fillId="20" borderId="1" applyNumberFormat="0" applyAlignment="0" applyProtection="0"/>
    <xf numFmtId="0" fontId="7" fillId="21" borderId="2" applyNumberFormat="0" applyAlignment="0" applyProtection="0"/>
    <xf numFmtId="41" fontId="3" fillId="0" borderId="0" applyFont="0" applyFill="0" applyBorder="0" applyAlignment="0" applyProtection="0"/>
    <xf numFmtId="171" fontId="3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2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2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21" borderId="2" applyNumberFormat="0" applyAlignment="0" applyProtection="0"/>
    <xf numFmtId="0" fontId="33" fillId="0" borderId="0" applyNumberFormat="0" applyAlignment="0">
      <alignment horizontal="left"/>
    </xf>
    <xf numFmtId="0" fontId="31" fillId="0" borderId="0" applyNumberFormat="0" applyAlignment="0"/>
    <xf numFmtId="171" fontId="3" fillId="0" borderId="0" applyFont="0" applyFill="0" applyBorder="0" applyAlignment="0" applyProtection="0"/>
    <xf numFmtId="172" fontId="30" fillId="0" borderId="0" applyFont="0" applyFill="0" applyBorder="0" applyAlignment="0" applyProtection="0"/>
    <xf numFmtId="4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4" fontId="34" fillId="0" borderId="0" applyFill="0" applyBorder="0" applyAlignment="0"/>
    <xf numFmtId="38" fontId="35" fillId="0" borderId="3"/>
    <xf numFmtId="171" fontId="30" fillId="0" borderId="0" applyFill="0" applyBorder="0" applyAlignment="0"/>
    <xf numFmtId="172" fontId="30" fillId="0" borderId="0" applyFill="0" applyBorder="0" applyAlignment="0"/>
    <xf numFmtId="171" fontId="30" fillId="0" borderId="0" applyFill="0" applyBorder="0" applyAlignment="0"/>
    <xf numFmtId="176" fontId="31" fillId="0" borderId="0" applyFill="0" applyBorder="0" applyAlignment="0"/>
    <xf numFmtId="172" fontId="30" fillId="0" borderId="0" applyFill="0" applyBorder="0" applyAlignment="0"/>
    <xf numFmtId="0" fontId="36" fillId="0" borderId="0" applyNumberFormat="0" applyAlignment="0">
      <alignment horizontal="left"/>
    </xf>
    <xf numFmtId="0" fontId="20" fillId="0" borderId="0" applyNumberFormat="0" applyFill="0" applyBorder="0" applyAlignment="0" applyProtection="0"/>
    <xf numFmtId="0" fontId="8" fillId="0" borderId="4" applyNumberFormat="0" applyFill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38" fontId="37" fillId="22" borderId="0" applyNumberFormat="0" applyBorder="0" applyAlignment="0" applyProtection="0"/>
    <xf numFmtId="0" fontId="38" fillId="0" borderId="5" applyNumberFormat="0" applyAlignment="0" applyProtection="0">
      <alignment horizontal="left" vertical="center"/>
    </xf>
    <xf numFmtId="0" fontId="38" fillId="0" borderId="5" applyNumberFormat="0" applyAlignment="0" applyProtection="0">
      <alignment horizontal="left"/>
    </xf>
    <xf numFmtId="0" fontId="38" fillId="0" borderId="6">
      <alignment horizontal="left" vertical="center"/>
    </xf>
    <xf numFmtId="0" fontId="38" fillId="0" borderId="6">
      <alignment horizontal="left"/>
    </xf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3" fillId="0" borderId="9" applyNumberFormat="0" applyFill="0" applyAlignment="0" applyProtection="0"/>
    <xf numFmtId="0" fontId="13" fillId="0" borderId="0" applyNumberForma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10" fontId="37" fillId="23" borderId="10" applyNumberFormat="0" applyBorder="0" applyAlignment="0" applyProtection="0"/>
    <xf numFmtId="0" fontId="10" fillId="7" borderId="1" applyNumberFormat="0" applyAlignment="0" applyProtection="0"/>
    <xf numFmtId="0" fontId="10" fillId="7" borderId="1" applyNumberFormat="0" applyAlignment="0" applyProtection="0"/>
    <xf numFmtId="0" fontId="10" fillId="7" borderId="1" applyNumberFormat="0" applyAlignment="0" applyProtection="0"/>
    <xf numFmtId="0" fontId="10" fillId="7" borderId="1" applyNumberFormat="0" applyAlignment="0" applyProtection="0"/>
    <xf numFmtId="0" fontId="10" fillId="7" borderId="1" applyNumberFormat="0" applyAlignment="0" applyProtection="0"/>
    <xf numFmtId="0" fontId="10" fillId="7" borderId="1" applyNumberFormat="0" applyAlignment="0" applyProtection="0"/>
    <xf numFmtId="0" fontId="10" fillId="7" borderId="1" applyNumberFormat="0" applyAlignment="0" applyProtection="0"/>
    <xf numFmtId="0" fontId="10" fillId="7" borderId="1" applyNumberFormat="0" applyAlignment="0" applyProtection="0"/>
    <xf numFmtId="174" fontId="41" fillId="24" borderId="0"/>
    <xf numFmtId="0" fontId="10" fillId="7" borderId="1" applyNumberFormat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3" fillId="0" borderId="9" applyNumberFormat="0" applyFill="0" applyAlignment="0" applyProtection="0"/>
    <xf numFmtId="0" fontId="13" fillId="0" borderId="0" applyNumberFormat="0" applyFill="0" applyBorder="0" applyAlignment="0" applyProtection="0"/>
    <xf numFmtId="171" fontId="30" fillId="0" borderId="0" applyFill="0" applyBorder="0" applyAlignment="0"/>
    <xf numFmtId="172" fontId="30" fillId="0" borderId="0" applyFill="0" applyBorder="0" applyAlignment="0"/>
    <xf numFmtId="171" fontId="30" fillId="0" borderId="0" applyFill="0" applyBorder="0" applyAlignment="0"/>
    <xf numFmtId="176" fontId="31" fillId="0" borderId="0" applyFill="0" applyBorder="0" applyAlignment="0"/>
    <xf numFmtId="172" fontId="30" fillId="0" borderId="0" applyFill="0" applyBorder="0" applyAlignment="0"/>
    <xf numFmtId="0" fontId="8" fillId="0" borderId="4" applyNumberFormat="0" applyFill="0" applyAlignment="0" applyProtection="0"/>
    <xf numFmtId="174" fontId="42" fillId="25" borderId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82" fontId="4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32" fillId="0" borderId="0"/>
    <xf numFmtId="0" fontId="3" fillId="0" borderId="0">
      <alignment vertical="top"/>
    </xf>
    <xf numFmtId="0" fontId="3" fillId="0" borderId="0"/>
    <xf numFmtId="0" fontId="3" fillId="0" borderId="0"/>
    <xf numFmtId="0" fontId="3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2" fillId="0" borderId="0"/>
    <xf numFmtId="0" fontId="3" fillId="0" borderId="0"/>
    <xf numFmtId="0" fontId="3" fillId="0" borderId="0"/>
    <xf numFmtId="0" fontId="3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3" fillId="0" borderId="0"/>
    <xf numFmtId="0" fontId="3" fillId="0" borderId="0"/>
    <xf numFmtId="0" fontId="32" fillId="0" borderId="0"/>
    <xf numFmtId="0" fontId="70" fillId="0" borderId="0"/>
    <xf numFmtId="0" fontId="32" fillId="0" borderId="0"/>
    <xf numFmtId="0" fontId="32" fillId="0" borderId="0"/>
    <xf numFmtId="0" fontId="3" fillId="0" borderId="0"/>
    <xf numFmtId="0" fontId="70" fillId="0" borderId="0"/>
    <xf numFmtId="0" fontId="3" fillId="0" borderId="0"/>
    <xf numFmtId="0" fontId="3" fillId="0" borderId="0" applyAlignment="0"/>
    <xf numFmtId="0" fontId="32" fillId="0" borderId="0"/>
    <xf numFmtId="0" fontId="3" fillId="0" borderId="0"/>
    <xf numFmtId="0" fontId="3" fillId="0" borderId="0"/>
    <xf numFmtId="0" fontId="3" fillId="0" borderId="0"/>
    <xf numFmtId="1" fontId="3" fillId="0" borderId="0" applyAlignment="0"/>
    <xf numFmtId="0" fontId="70" fillId="0" borderId="0"/>
    <xf numFmtId="0" fontId="32" fillId="0" borderId="0"/>
    <xf numFmtId="0" fontId="3" fillId="0" borderId="0"/>
    <xf numFmtId="0" fontId="32" fillId="0" borderId="0"/>
    <xf numFmtId="0" fontId="3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4" fillId="0" borderId="0"/>
    <xf numFmtId="0" fontId="3" fillId="0" borderId="0"/>
    <xf numFmtId="0" fontId="70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70" fillId="0" borderId="0"/>
    <xf numFmtId="0" fontId="70" fillId="0" borderId="0"/>
    <xf numFmtId="0" fontId="3" fillId="0" borderId="0"/>
    <xf numFmtId="0" fontId="3" fillId="0" borderId="0"/>
    <xf numFmtId="0" fontId="70" fillId="0" borderId="0"/>
    <xf numFmtId="0" fontId="7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protection locked="0"/>
    </xf>
    <xf numFmtId="0" fontId="3" fillId="0" borderId="0"/>
    <xf numFmtId="0" fontId="70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5" fillId="0" borderId="0"/>
    <xf numFmtId="0" fontId="3" fillId="0" borderId="0"/>
    <xf numFmtId="0" fontId="3" fillId="0" borderId="0"/>
    <xf numFmtId="0" fontId="45" fillId="0" borderId="0"/>
    <xf numFmtId="0" fontId="45" fillId="0" borderId="0"/>
    <xf numFmtId="0" fontId="3" fillId="0" borderId="0"/>
    <xf numFmtId="0" fontId="7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40" borderId="43" applyNumberFormat="0" applyFont="0" applyAlignment="0" applyProtection="0"/>
    <xf numFmtId="0" fontId="3" fillId="27" borderId="11" applyNumberFormat="0" applyFont="0" applyAlignment="0" applyProtection="0"/>
    <xf numFmtId="0" fontId="1" fillId="27" borderId="11" applyNumberFormat="0" applyFont="0" applyAlignment="0" applyProtection="0"/>
    <xf numFmtId="0" fontId="70" fillId="40" borderId="43" applyNumberFormat="0" applyFont="0" applyAlignment="0" applyProtection="0"/>
    <xf numFmtId="0" fontId="15" fillId="27" borderId="11" applyNumberFormat="0" applyFont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6" fillId="3" borderId="0" applyNumberFormat="0" applyBorder="0" applyAlignment="0" applyProtection="0"/>
    <xf numFmtId="0" fontId="19" fillId="20" borderId="12" applyNumberFormat="0" applyAlignment="0" applyProtection="0"/>
    <xf numFmtId="14" fontId="29" fillId="0" borderId="0">
      <alignment horizontal="center" wrapText="1"/>
      <protection locked="0"/>
    </xf>
    <xf numFmtId="175" fontId="31" fillId="0" borderId="0" applyFont="0" applyFill="0" applyBorder="0" applyAlignment="0" applyProtection="0"/>
    <xf numFmtId="183" fontId="30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1" fontId="30" fillId="0" borderId="0" applyFill="0" applyBorder="0" applyAlignment="0"/>
    <xf numFmtId="172" fontId="30" fillId="0" borderId="0" applyFill="0" applyBorder="0" applyAlignment="0"/>
    <xf numFmtId="171" fontId="30" fillId="0" borderId="0" applyFill="0" applyBorder="0" applyAlignment="0"/>
    <xf numFmtId="176" fontId="31" fillId="0" borderId="0" applyFill="0" applyBorder="0" applyAlignment="0"/>
    <xf numFmtId="172" fontId="30" fillId="0" borderId="0" applyFill="0" applyBorder="0" applyAlignment="0"/>
    <xf numFmtId="5" fontId="46" fillId="0" borderId="0"/>
    <xf numFmtId="0" fontId="35" fillId="0" borderId="0" applyNumberFormat="0" applyFont="0" applyFill="0" applyBorder="0" applyAlignment="0" applyProtection="0">
      <alignment horizontal="left"/>
    </xf>
    <xf numFmtId="184" fontId="47" fillId="0" borderId="0" applyNumberFormat="0" applyFill="0" applyBorder="0" applyAlignment="0" applyProtection="0">
      <alignment horizontal="left"/>
    </xf>
    <xf numFmtId="14" fontId="47" fillId="0" borderId="0" applyNumberFormat="0" applyFill="0" applyBorder="0" applyAlignment="0" applyProtection="0">
      <alignment horizontal="left"/>
    </xf>
    <xf numFmtId="185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3" fillId="0" borderId="0"/>
    <xf numFmtId="0" fontId="34" fillId="0" borderId="0">
      <alignment vertical="top"/>
    </xf>
    <xf numFmtId="40" fontId="48" fillId="0" borderId="0" applyBorder="0">
      <alignment horizontal="right"/>
    </xf>
    <xf numFmtId="49" fontId="34" fillId="0" borderId="0" applyFill="0" applyBorder="0" applyAlignment="0"/>
    <xf numFmtId="187" fontId="31" fillId="0" borderId="0" applyFill="0" applyBorder="0" applyAlignment="0"/>
    <xf numFmtId="188" fontId="31" fillId="0" borderId="0" applyFill="0" applyBorder="0" applyAlignment="0"/>
    <xf numFmtId="0" fontId="17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9" fillId="20" borderId="12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0" fontId="22" fillId="0" borderId="0"/>
    <xf numFmtId="0" fontId="3" fillId="0" borderId="0"/>
    <xf numFmtId="0" fontId="49" fillId="26" borderId="0" applyNumberFormat="0" applyBorder="0" applyAlignment="0" applyProtection="0">
      <alignment vertical="center"/>
    </xf>
    <xf numFmtId="0" fontId="3" fillId="27" borderId="11" applyNumberFormat="0" applyFont="0" applyAlignment="0" applyProtection="0">
      <alignment vertical="center"/>
    </xf>
    <xf numFmtId="41" fontId="50" fillId="0" borderId="0" applyFont="0" applyFill="0" applyBorder="0" applyAlignment="0" applyProtection="0"/>
    <xf numFmtId="0" fontId="51" fillId="0" borderId="13" applyNumberFormat="0" applyFill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top"/>
      <protection locked="0"/>
    </xf>
    <xf numFmtId="0" fontId="54" fillId="0" borderId="0">
      <alignment vertical="center"/>
    </xf>
    <xf numFmtId="0" fontId="23" fillId="0" borderId="0"/>
    <xf numFmtId="0" fontId="55" fillId="0" borderId="0" applyNumberFormat="0" applyFill="0" applyBorder="0" applyAlignment="0" applyProtection="0">
      <alignment vertical="center"/>
    </xf>
    <xf numFmtId="0" fontId="56" fillId="0" borderId="7" applyNumberFormat="0" applyFill="0" applyAlignment="0" applyProtection="0">
      <alignment vertical="center"/>
    </xf>
    <xf numFmtId="0" fontId="57" fillId="0" borderId="8" applyNumberFormat="0" applyFill="0" applyAlignment="0" applyProtection="0">
      <alignment vertical="center"/>
    </xf>
    <xf numFmtId="0" fontId="58" fillId="0" borderId="9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34" fillId="0" borderId="0">
      <alignment vertical="top"/>
    </xf>
    <xf numFmtId="0" fontId="59" fillId="21" borderId="2" applyNumberFormat="0" applyAlignment="0" applyProtection="0">
      <alignment vertical="center"/>
    </xf>
    <xf numFmtId="0" fontId="60" fillId="20" borderId="1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63" fillId="7" borderId="1" applyNumberFormat="0" applyAlignment="0" applyProtection="0">
      <alignment vertical="center"/>
    </xf>
    <xf numFmtId="0" fontId="64" fillId="20" borderId="12" applyNumberFormat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top"/>
      <protection locked="0"/>
    </xf>
  </cellStyleXfs>
  <cellXfs count="181">
    <xf numFmtId="0" fontId="0" fillId="0" borderId="0" xfId="0"/>
    <xf numFmtId="0" fontId="18" fillId="41" borderId="15" xfId="0" quotePrefix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2" fontId="0" fillId="0" borderId="0" xfId="0" applyNumberFormat="1"/>
    <xf numFmtId="0" fontId="66" fillId="42" borderId="29" xfId="0" applyFont="1" applyFill="1" applyBorder="1" applyAlignment="1">
      <alignment horizontal="center" vertical="center" wrapText="1"/>
    </xf>
    <xf numFmtId="2" fontId="77" fillId="0" borderId="0" xfId="0" applyNumberFormat="1" applyFont="1"/>
    <xf numFmtId="0" fontId="66" fillId="43" borderId="30" xfId="0" applyFont="1" applyFill="1" applyBorder="1" applyAlignment="1">
      <alignment horizontal="center" vertical="center" wrapText="1"/>
    </xf>
    <xf numFmtId="0" fontId="66" fillId="43" borderId="28" xfId="0" applyFont="1" applyFill="1" applyBorder="1" applyAlignment="1">
      <alignment horizontal="center" vertical="center" wrapText="1"/>
    </xf>
    <xf numFmtId="0" fontId="66" fillId="43" borderId="31" xfId="0" applyFont="1" applyFill="1" applyBorder="1" applyAlignment="1">
      <alignment horizontal="center" vertical="center" wrapText="1"/>
    </xf>
    <xf numFmtId="0" fontId="66" fillId="44" borderId="30" xfId="0" applyFont="1" applyFill="1" applyBorder="1" applyAlignment="1">
      <alignment horizontal="center" vertical="center" wrapText="1"/>
    </xf>
    <xf numFmtId="0" fontId="66" fillId="44" borderId="28" xfId="0" applyFont="1" applyFill="1" applyBorder="1" applyAlignment="1">
      <alignment horizontal="center" vertical="center" wrapText="1"/>
    </xf>
    <xf numFmtId="0" fontId="66" fillId="44" borderId="31" xfId="0" applyFont="1" applyFill="1" applyBorder="1" applyAlignment="1">
      <alignment horizontal="center" vertical="center" wrapText="1"/>
    </xf>
    <xf numFmtId="0" fontId="66" fillId="42" borderId="32" xfId="0" applyFont="1" applyFill="1" applyBorder="1" applyAlignment="1">
      <alignment horizontal="center" vertical="center" wrapText="1"/>
    </xf>
    <xf numFmtId="0" fontId="66" fillId="42" borderId="28" xfId="0" applyFont="1" applyFill="1" applyBorder="1" applyAlignment="1">
      <alignment horizontal="center" vertical="center" wrapText="1"/>
    </xf>
    <xf numFmtId="0" fontId="66" fillId="45" borderId="32" xfId="0" applyFont="1" applyFill="1" applyBorder="1" applyAlignment="1">
      <alignment horizontal="center" vertical="center"/>
    </xf>
    <xf numFmtId="0" fontId="66" fillId="45" borderId="28" xfId="0" applyFont="1" applyFill="1" applyBorder="1" applyAlignment="1">
      <alignment horizontal="center" vertical="center"/>
    </xf>
    <xf numFmtId="0" fontId="66" fillId="45" borderId="28" xfId="0" applyFont="1" applyFill="1" applyBorder="1" applyAlignment="1">
      <alignment horizontal="center" vertical="center" wrapText="1"/>
    </xf>
    <xf numFmtId="0" fontId="66" fillId="45" borderId="16" xfId="0" applyFont="1" applyFill="1" applyBorder="1" applyAlignment="1">
      <alignment horizontal="center" vertical="center" wrapText="1"/>
    </xf>
    <xf numFmtId="2" fontId="78" fillId="0" borderId="28" xfId="0" applyNumberFormat="1" applyFont="1" applyBorder="1" applyAlignment="1">
      <alignment horizontal="center" vertical="center"/>
    </xf>
    <xf numFmtId="0" fontId="79" fillId="41" borderId="10" xfId="0" applyFont="1" applyFill="1" applyBorder="1" applyAlignment="1">
      <alignment horizontal="center" vertical="center"/>
    </xf>
    <xf numFmtId="49" fontId="69" fillId="41" borderId="15" xfId="0" quotePrefix="1" applyNumberFormat="1" applyFont="1" applyFill="1" applyBorder="1" applyAlignment="1">
      <alignment horizontal="center" vertical="center"/>
    </xf>
    <xf numFmtId="0" fontId="80" fillId="43" borderId="10" xfId="0" applyFont="1" applyFill="1" applyBorder="1" applyAlignment="1">
      <alignment horizontal="center" vertical="center" wrapText="1"/>
    </xf>
    <xf numFmtId="0" fontId="80" fillId="43" borderId="10" xfId="0" applyFont="1" applyFill="1" applyBorder="1" applyAlignment="1">
      <alignment horizontal="center" vertical="center"/>
    </xf>
    <xf numFmtId="0" fontId="81" fillId="43" borderId="10" xfId="0" applyFont="1" applyFill="1" applyBorder="1" applyAlignment="1">
      <alignment horizontal="center" vertical="center"/>
    </xf>
    <xf numFmtId="0" fontId="80" fillId="44" borderId="10" xfId="0" applyFont="1" applyFill="1" applyBorder="1" applyAlignment="1">
      <alignment horizontal="center" vertical="center"/>
    </xf>
    <xf numFmtId="0" fontId="81" fillId="44" borderId="10" xfId="0" applyFont="1" applyFill="1" applyBorder="1" applyAlignment="1">
      <alignment horizontal="center" vertical="center"/>
    </xf>
    <xf numFmtId="2" fontId="81" fillId="0" borderId="10" xfId="427" applyNumberFormat="1" applyFont="1" applyBorder="1" applyAlignment="1">
      <alignment horizontal="center" vertical="center"/>
    </xf>
    <xf numFmtId="0" fontId="81" fillId="46" borderId="10" xfId="0" applyFont="1" applyFill="1" applyBorder="1" applyAlignment="1">
      <alignment horizontal="center" vertical="center"/>
    </xf>
    <xf numFmtId="10" fontId="81" fillId="46" borderId="10" xfId="0" applyNumberFormat="1" applyFont="1" applyFill="1" applyBorder="1" applyAlignment="1">
      <alignment horizontal="center" vertical="center"/>
    </xf>
    <xf numFmtId="2" fontId="77" fillId="0" borderId="10" xfId="0" applyNumberFormat="1" applyFont="1" applyBorder="1" applyAlignment="1">
      <alignment horizontal="center" vertical="center"/>
    </xf>
    <xf numFmtId="0" fontId="74" fillId="0" borderId="0" xfId="0" applyFont="1"/>
    <xf numFmtId="0" fontId="73" fillId="0" borderId="0" xfId="0" applyFont="1" applyAlignment="1">
      <alignment horizontal="center" vertical="center"/>
    </xf>
    <xf numFmtId="0" fontId="73" fillId="0" borderId="0" xfId="0" applyFont="1" applyAlignment="1">
      <alignment horizontal="center" vertical="center" wrapText="1"/>
    </xf>
    <xf numFmtId="0" fontId="73" fillId="0" borderId="20" xfId="0" applyFont="1" applyBorder="1" applyAlignment="1">
      <alignment horizontal="center" vertical="center"/>
    </xf>
    <xf numFmtId="0" fontId="82" fillId="44" borderId="20" xfId="0" applyFont="1" applyFill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8" fillId="0" borderId="20" xfId="0" applyFont="1" applyBorder="1" applyAlignment="1">
      <alignment horizontal="center" vertical="center"/>
    </xf>
    <xf numFmtId="2" fontId="78" fillId="0" borderId="20" xfId="0" applyNumberFormat="1" applyFont="1" applyBorder="1" applyAlignment="1">
      <alignment horizontal="center" vertical="center"/>
    </xf>
    <xf numFmtId="0" fontId="77" fillId="0" borderId="0" xfId="0" applyFont="1"/>
    <xf numFmtId="0" fontId="66" fillId="42" borderId="16" xfId="0" applyFont="1" applyFill="1" applyBorder="1" applyAlignment="1">
      <alignment horizontal="center" vertical="center" wrapText="1"/>
    </xf>
    <xf numFmtId="0" fontId="66" fillId="42" borderId="27" xfId="0" applyFont="1" applyFill="1" applyBorder="1" applyAlignment="1">
      <alignment vertical="center" wrapText="1"/>
    </xf>
    <xf numFmtId="2" fontId="73" fillId="0" borderId="0" xfId="0" applyNumberFormat="1" applyFont="1" applyAlignment="1">
      <alignment horizontal="center" vertical="center"/>
    </xf>
    <xf numFmtId="0" fontId="83" fillId="0" borderId="14" xfId="0" applyFont="1" applyBorder="1" applyAlignment="1">
      <alignment vertical="center"/>
    </xf>
    <xf numFmtId="0" fontId="83" fillId="0" borderId="6" xfId="0" applyFont="1" applyBorder="1" applyAlignment="1">
      <alignment vertical="center"/>
    </xf>
    <xf numFmtId="0" fontId="83" fillId="0" borderId="10" xfId="0" quotePrefix="1" applyFont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84" fillId="0" borderId="10" xfId="0" applyFont="1" applyBorder="1"/>
    <xf numFmtId="0" fontId="76" fillId="0" borderId="0" xfId="0" applyFont="1" applyAlignment="1">
      <alignment vertical="center"/>
    </xf>
    <xf numFmtId="0" fontId="83" fillId="0" borderId="28" xfId="0" applyFont="1" applyBorder="1" applyAlignment="1">
      <alignment horizontal="center" vertical="center"/>
    </xf>
    <xf numFmtId="3" fontId="83" fillId="0" borderId="14" xfId="0" quotePrefix="1" applyNumberFormat="1" applyFont="1" applyBorder="1" applyAlignment="1">
      <alignment horizontal="center" vertical="center"/>
    </xf>
    <xf numFmtId="0" fontId="83" fillId="0" borderId="33" xfId="0" applyFont="1" applyBorder="1" applyAlignment="1">
      <alignment horizontal="center" vertical="center"/>
    </xf>
    <xf numFmtId="0" fontId="83" fillId="0" borderId="29" xfId="0" applyFont="1" applyBorder="1" applyAlignment="1">
      <alignment horizontal="center" vertical="center"/>
    </xf>
    <xf numFmtId="0" fontId="83" fillId="0" borderId="34" xfId="0" applyFont="1" applyBorder="1" applyAlignment="1">
      <alignment horizontal="center" vertical="center"/>
    </xf>
    <xf numFmtId="0" fontId="83" fillId="0" borderId="15" xfId="0" quotePrefix="1" applyFont="1" applyBorder="1" applyAlignment="1">
      <alignment horizontal="center" vertical="center"/>
    </xf>
    <xf numFmtId="16" fontId="83" fillId="0" borderId="14" xfId="0" quotePrefix="1" applyNumberFormat="1" applyFont="1" applyBorder="1" applyAlignment="1">
      <alignment horizontal="center" vertical="center"/>
    </xf>
    <xf numFmtId="0" fontId="83" fillId="0" borderId="35" xfId="0" applyFont="1" applyBorder="1" applyAlignment="1">
      <alignment horizontal="center" vertical="center"/>
    </xf>
    <xf numFmtId="0" fontId="83" fillId="0" borderId="36" xfId="0" applyFont="1" applyBorder="1" applyAlignment="1">
      <alignment horizontal="center" vertical="center"/>
    </xf>
    <xf numFmtId="0" fontId="83" fillId="0" borderId="15" xfId="0" applyFont="1" applyBorder="1" applyAlignment="1">
      <alignment horizontal="center" vertical="center"/>
    </xf>
    <xf numFmtId="0" fontId="83" fillId="0" borderId="14" xfId="0" quotePrefix="1" applyFont="1" applyBorder="1" applyAlignment="1">
      <alignment horizontal="center" vertical="center"/>
    </xf>
    <xf numFmtId="0" fontId="83" fillId="0" borderId="37" xfId="0" applyFont="1" applyBorder="1" applyAlignment="1">
      <alignment horizontal="center" vertical="center"/>
    </xf>
    <xf numFmtId="0" fontId="83" fillId="0" borderId="38" xfId="0" applyFont="1" applyBorder="1" applyAlignment="1">
      <alignment horizontal="center" vertical="center"/>
    </xf>
    <xf numFmtId="0" fontId="83" fillId="0" borderId="39" xfId="0" applyFont="1" applyBorder="1" applyAlignment="1">
      <alignment horizontal="center" vertical="center"/>
    </xf>
    <xf numFmtId="0" fontId="83" fillId="0" borderId="20" xfId="0" applyFont="1" applyBorder="1" applyAlignment="1">
      <alignment horizontal="center" vertical="center"/>
    </xf>
    <xf numFmtId="0" fontId="84" fillId="0" borderId="28" xfId="0" applyFont="1" applyBorder="1"/>
    <xf numFmtId="0" fontId="84" fillId="0" borderId="20" xfId="0" applyFont="1" applyBorder="1"/>
    <xf numFmtId="0" fontId="84" fillId="0" borderId="22" xfId="0" applyFont="1" applyBorder="1"/>
    <xf numFmtId="0" fontId="85" fillId="0" borderId="20" xfId="0" applyFont="1" applyBorder="1"/>
    <xf numFmtId="189" fontId="83" fillId="0" borderId="10" xfId="0" applyNumberFormat="1" applyFont="1" applyBorder="1" applyAlignment="1">
      <alignment horizontal="center" vertical="center"/>
    </xf>
    <xf numFmtId="189" fontId="85" fillId="0" borderId="10" xfId="0" applyNumberFormat="1" applyFont="1" applyBorder="1" applyAlignment="1">
      <alignment horizontal="center"/>
    </xf>
    <xf numFmtId="189" fontId="85" fillId="0" borderId="10" xfId="0" applyNumberFormat="1" applyFont="1" applyBorder="1" applyAlignment="1">
      <alignment horizontal="center" vertical="center"/>
    </xf>
    <xf numFmtId="0" fontId="85" fillId="0" borderId="18" xfId="0" applyFont="1" applyBorder="1"/>
    <xf numFmtId="0" fontId="85" fillId="0" borderId="19" xfId="0" applyFont="1" applyBorder="1"/>
    <xf numFmtId="0" fontId="85" fillId="0" borderId="0" xfId="0" applyFont="1"/>
    <xf numFmtId="0" fontId="73" fillId="0" borderId="10" xfId="0" applyFont="1" applyBorder="1" applyAlignment="1">
      <alignment horizontal="center"/>
    </xf>
    <xf numFmtId="0" fontId="83" fillId="0" borderId="16" xfId="0" quotePrefix="1" applyFont="1" applyBorder="1" applyAlignment="1">
      <alignment horizontal="center" vertical="center"/>
    </xf>
    <xf numFmtId="0" fontId="83" fillId="0" borderId="30" xfId="0" applyFont="1" applyBorder="1" applyAlignment="1">
      <alignment horizontal="center" vertical="center"/>
    </xf>
    <xf numFmtId="0" fontId="83" fillId="0" borderId="31" xfId="0" applyFont="1" applyBorder="1" applyAlignment="1">
      <alignment horizontal="center" vertical="center"/>
    </xf>
    <xf numFmtId="189" fontId="85" fillId="0" borderId="20" xfId="0" applyNumberFormat="1" applyFont="1" applyBorder="1" applyAlignment="1">
      <alignment horizontal="center"/>
    </xf>
    <xf numFmtId="0" fontId="85" fillId="0" borderId="21" xfId="0" applyFont="1" applyBorder="1"/>
    <xf numFmtId="0" fontId="73" fillId="0" borderId="20" xfId="0" applyFont="1" applyBorder="1" applyAlignment="1">
      <alignment horizontal="center"/>
    </xf>
    <xf numFmtId="0" fontId="85" fillId="0" borderId="38" xfId="0" applyFont="1" applyBorder="1"/>
    <xf numFmtId="189" fontId="85" fillId="0" borderId="38" xfId="0" applyNumberFormat="1" applyFont="1" applyBorder="1" applyAlignment="1">
      <alignment horizontal="center"/>
    </xf>
    <xf numFmtId="0" fontId="85" fillId="0" borderId="38" xfId="0" applyFont="1" applyBorder="1" applyAlignment="1">
      <alignment horizontal="center"/>
    </xf>
    <xf numFmtId="0" fontId="73" fillId="0" borderId="10" xfId="0" applyFont="1" applyBorder="1" applyAlignment="1">
      <alignment horizontal="center" vertical="center"/>
    </xf>
    <xf numFmtId="2" fontId="83" fillId="0" borderId="10" xfId="0" applyNumberFormat="1" applyFont="1" applyBorder="1" applyAlignment="1">
      <alignment horizontal="center" vertical="center"/>
    </xf>
    <xf numFmtId="0" fontId="83" fillId="0" borderId="10" xfId="0" applyFont="1" applyBorder="1"/>
    <xf numFmtId="0" fontId="83" fillId="0" borderId="10" xfId="0" applyFont="1" applyBorder="1" applyAlignment="1">
      <alignment vertical="center"/>
    </xf>
    <xf numFmtId="0" fontId="83" fillId="0" borderId="20" xfId="0" applyFont="1" applyBorder="1" applyAlignment="1">
      <alignment vertical="center"/>
    </xf>
    <xf numFmtId="2" fontId="73" fillId="0" borderId="10" xfId="0" applyNumberFormat="1" applyFont="1" applyBorder="1" applyAlignment="1">
      <alignment horizontal="center" vertical="center"/>
    </xf>
    <xf numFmtId="0" fontId="83" fillId="0" borderId="40" xfId="0" applyFont="1" applyBorder="1" applyAlignment="1">
      <alignment horizontal="center" vertical="center"/>
    </xf>
    <xf numFmtId="0" fontId="83" fillId="0" borderId="41" xfId="0" applyFont="1" applyBorder="1" applyAlignment="1">
      <alignment horizontal="center" vertical="center"/>
    </xf>
    <xf numFmtId="0" fontId="85" fillId="0" borderId="25" xfId="0" applyFont="1" applyBorder="1"/>
    <xf numFmtId="2" fontId="85" fillId="0" borderId="38" xfId="0" applyNumberFormat="1" applyFont="1" applyBorder="1" applyAlignment="1">
      <alignment horizontal="center" vertical="center"/>
    </xf>
    <xf numFmtId="2" fontId="73" fillId="0" borderId="20" xfId="0" applyNumberFormat="1" applyFont="1" applyBorder="1" applyAlignment="1">
      <alignment horizontal="center" vertical="center"/>
    </xf>
    <xf numFmtId="0" fontId="83" fillId="0" borderId="10" xfId="0" applyFont="1" applyBorder="1" applyAlignment="1">
      <alignment horizontal="center" vertical="center"/>
    </xf>
    <xf numFmtId="0" fontId="83" fillId="0" borderId="6" xfId="0" applyFont="1" applyBorder="1" applyAlignment="1">
      <alignment horizontal="left" vertical="center"/>
    </xf>
    <xf numFmtId="0" fontId="83" fillId="0" borderId="15" xfId="0" applyFont="1" applyBorder="1" applyAlignment="1">
      <alignment horizontal="left" vertical="center"/>
    </xf>
    <xf numFmtId="0" fontId="89" fillId="0" borderId="14" xfId="0" applyFont="1" applyBorder="1" applyAlignment="1">
      <alignment vertical="center"/>
    </xf>
    <xf numFmtId="0" fontId="83" fillId="0" borderId="15" xfId="0" applyFont="1" applyBorder="1" applyAlignment="1">
      <alignment vertical="center"/>
    </xf>
    <xf numFmtId="49" fontId="77" fillId="0" borderId="0" xfId="0" applyNumberFormat="1" applyFont="1"/>
    <xf numFmtId="0" fontId="78" fillId="0" borderId="0" xfId="0" applyFont="1"/>
    <xf numFmtId="0" fontId="77" fillId="0" borderId="10" xfId="0" applyFont="1" applyBorder="1"/>
    <xf numFmtId="0" fontId="77" fillId="0" borderId="17" xfId="0" applyFont="1" applyBorder="1"/>
    <xf numFmtId="0" fontId="77" fillId="0" borderId="32" xfId="0" applyFont="1" applyBorder="1"/>
    <xf numFmtId="0" fontId="77" fillId="0" borderId="23" xfId="0" applyFont="1" applyBorder="1"/>
    <xf numFmtId="0" fontId="77" fillId="0" borderId="19" xfId="0" applyFont="1" applyBorder="1"/>
    <xf numFmtId="0" fontId="77" fillId="0" borderId="21" xfId="0" applyFont="1" applyBorder="1"/>
    <xf numFmtId="0" fontId="84" fillId="0" borderId="0" xfId="0" applyFont="1"/>
    <xf numFmtId="189" fontId="85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83" fillId="0" borderId="14" xfId="0" applyFont="1" applyBorder="1" applyAlignment="1">
      <alignment horizontal="left" vertical="center"/>
    </xf>
    <xf numFmtId="0" fontId="83" fillId="0" borderId="6" xfId="0" applyFont="1" applyBorder="1" applyAlignment="1">
      <alignment horizontal="left" vertical="center"/>
    </xf>
    <xf numFmtId="0" fontId="83" fillId="0" borderId="15" xfId="0" applyFont="1" applyBorder="1" applyAlignment="1">
      <alignment horizontal="left" vertical="center"/>
    </xf>
    <xf numFmtId="0" fontId="90" fillId="0" borderId="14" xfId="0" applyFont="1" applyBorder="1" applyAlignment="1">
      <alignment horizontal="left" vertical="center"/>
    </xf>
    <xf numFmtId="0" fontId="89" fillId="0" borderId="14" xfId="0" applyFont="1" applyBorder="1" applyAlignment="1">
      <alignment horizontal="center" vertical="center" wrapText="1"/>
    </xf>
    <xf numFmtId="0" fontId="89" fillId="0" borderId="6" xfId="0" applyFont="1" applyBorder="1" applyAlignment="1">
      <alignment horizontal="center" vertical="center" wrapText="1"/>
    </xf>
    <xf numFmtId="0" fontId="89" fillId="0" borderId="15" xfId="0" applyFont="1" applyBorder="1" applyAlignment="1">
      <alignment horizontal="center" vertical="center" wrapText="1"/>
    </xf>
    <xf numFmtId="0" fontId="75" fillId="0" borderId="14" xfId="0" applyFont="1" applyBorder="1" applyAlignment="1">
      <alignment horizontal="center" vertical="center"/>
    </xf>
    <xf numFmtId="0" fontId="75" fillId="0" borderId="6" xfId="0" applyFont="1" applyBorder="1" applyAlignment="1">
      <alignment horizontal="center" vertical="center"/>
    </xf>
    <xf numFmtId="0" fontId="75" fillId="0" borderId="15" xfId="0" applyFont="1" applyBorder="1" applyAlignment="1">
      <alignment horizontal="center" vertical="center"/>
    </xf>
    <xf numFmtId="0" fontId="85" fillId="0" borderId="14" xfId="0" applyFont="1" applyBorder="1" applyAlignment="1">
      <alignment horizontal="left" vertical="center"/>
    </xf>
    <xf numFmtId="0" fontId="85" fillId="0" borderId="6" xfId="0" applyFont="1" applyBorder="1" applyAlignment="1">
      <alignment horizontal="left" vertical="center"/>
    </xf>
    <xf numFmtId="0" fontId="85" fillId="0" borderId="15" xfId="0" applyFont="1" applyBorder="1" applyAlignment="1">
      <alignment horizontal="left" vertical="center"/>
    </xf>
    <xf numFmtId="168" fontId="83" fillId="0" borderId="14" xfId="0" applyNumberFormat="1" applyFont="1" applyBorder="1" applyAlignment="1">
      <alignment horizontal="left" vertical="center"/>
    </xf>
    <xf numFmtId="168" fontId="83" fillId="0" borderId="6" xfId="0" applyNumberFormat="1" applyFont="1" applyBorder="1" applyAlignment="1">
      <alignment horizontal="left" vertical="center"/>
    </xf>
    <xf numFmtId="0" fontId="83" fillId="0" borderId="10" xfId="0" applyFont="1" applyBorder="1" applyAlignment="1">
      <alignment horizontal="center" vertical="center" wrapText="1"/>
    </xf>
    <xf numFmtId="0" fontId="84" fillId="0" borderId="0" xfId="0" applyFont="1" applyAlignment="1">
      <alignment horizontal="center"/>
    </xf>
    <xf numFmtId="0" fontId="77" fillId="0" borderId="14" xfId="0" applyFont="1" applyBorder="1" applyAlignment="1">
      <alignment horizontal="left"/>
    </xf>
    <xf numFmtId="0" fontId="77" fillId="0" borderId="6" xfId="0" applyFont="1" applyBorder="1" applyAlignment="1">
      <alignment horizontal="left"/>
    </xf>
    <xf numFmtId="0" fontId="77" fillId="0" borderId="15" xfId="0" applyFont="1" applyBorder="1" applyAlignment="1">
      <alignment horizontal="left"/>
    </xf>
    <xf numFmtId="0" fontId="77" fillId="0" borderId="14" xfId="0" applyFont="1" applyBorder="1" applyAlignment="1">
      <alignment horizontal="center"/>
    </xf>
    <xf numFmtId="0" fontId="77" fillId="0" borderId="6" xfId="0" applyFont="1" applyBorder="1" applyAlignment="1">
      <alignment horizontal="center"/>
    </xf>
    <xf numFmtId="0" fontId="83" fillId="0" borderId="10" xfId="0" applyFont="1" applyBorder="1" applyAlignment="1">
      <alignment horizontal="center" vertical="center"/>
    </xf>
    <xf numFmtId="0" fontId="83" fillId="0" borderId="28" xfId="0" applyFont="1" applyBorder="1" applyAlignment="1">
      <alignment horizontal="center" vertical="center" wrapText="1"/>
    </xf>
    <xf numFmtId="0" fontId="83" fillId="0" borderId="22" xfId="0" applyFont="1" applyBorder="1" applyAlignment="1">
      <alignment horizontal="center" vertical="center" wrapText="1"/>
    </xf>
    <xf numFmtId="0" fontId="83" fillId="0" borderId="20" xfId="0" applyFont="1" applyBorder="1" applyAlignment="1">
      <alignment horizontal="center" vertical="center" wrapText="1"/>
    </xf>
    <xf numFmtId="189" fontId="77" fillId="0" borderId="14" xfId="0" applyNumberFormat="1" applyFont="1" applyBorder="1" applyAlignment="1">
      <alignment horizontal="center"/>
    </xf>
    <xf numFmtId="2" fontId="77" fillId="0" borderId="14" xfId="0" applyNumberFormat="1" applyFont="1" applyBorder="1" applyAlignment="1">
      <alignment horizontal="center"/>
    </xf>
    <xf numFmtId="0" fontId="85" fillId="0" borderId="28" xfId="0" applyFont="1" applyBorder="1" applyAlignment="1">
      <alignment horizontal="center" vertical="center"/>
    </xf>
    <xf numFmtId="0" fontId="85" fillId="0" borderId="20" xfId="0" applyFont="1" applyBorder="1" applyAlignment="1">
      <alignment horizontal="center" vertical="center"/>
    </xf>
    <xf numFmtId="0" fontId="83" fillId="0" borderId="44" xfId="0" applyFont="1" applyBorder="1" applyAlignment="1">
      <alignment horizontal="center" vertical="center" wrapText="1"/>
    </xf>
    <xf numFmtId="0" fontId="88" fillId="41" borderId="10" xfId="0" applyFont="1" applyFill="1" applyBorder="1" applyAlignment="1">
      <alignment horizontal="center" vertical="center" wrapText="1"/>
    </xf>
    <xf numFmtId="0" fontId="82" fillId="45" borderId="10" xfId="0" applyFont="1" applyFill="1" applyBorder="1" applyAlignment="1">
      <alignment horizontal="center" vertical="center"/>
    </xf>
    <xf numFmtId="0" fontId="81" fillId="45" borderId="10" xfId="0" applyFont="1" applyFill="1" applyBorder="1" applyAlignment="1">
      <alignment horizontal="center" vertical="center"/>
    </xf>
    <xf numFmtId="10" fontId="81" fillId="45" borderId="10" xfId="0" applyNumberFormat="1" applyFont="1" applyFill="1" applyBorder="1" applyAlignment="1">
      <alignment horizontal="center" vertical="center"/>
    </xf>
    <xf numFmtId="0" fontId="87" fillId="0" borderId="14" xfId="0" applyFont="1" applyBorder="1" applyAlignment="1">
      <alignment horizontal="center" vertical="center" wrapText="1"/>
    </xf>
    <xf numFmtId="0" fontId="87" fillId="0" borderId="10" xfId="0" applyFont="1" applyBorder="1" applyAlignment="1">
      <alignment horizontal="center" vertical="center" wrapText="1"/>
    </xf>
    <xf numFmtId="0" fontId="87" fillId="0" borderId="28" xfId="0" applyFont="1" applyBorder="1" applyAlignment="1">
      <alignment horizontal="center" vertical="center" wrapText="1"/>
    </xf>
    <xf numFmtId="0" fontId="87" fillId="0" borderId="22" xfId="0" applyFont="1" applyBorder="1" applyAlignment="1">
      <alignment horizontal="center" vertical="center" wrapText="1"/>
    </xf>
    <xf numFmtId="0" fontId="87" fillId="0" borderId="20" xfId="0" applyFont="1" applyBorder="1" applyAlignment="1">
      <alignment horizontal="center" vertical="center" wrapText="1"/>
    </xf>
    <xf numFmtId="0" fontId="88" fillId="41" borderId="10" xfId="0" applyFont="1" applyFill="1" applyBorder="1" applyAlignment="1">
      <alignment horizontal="center" vertical="center"/>
    </xf>
    <xf numFmtId="0" fontId="81" fillId="41" borderId="10" xfId="0" applyFont="1" applyFill="1" applyBorder="1" applyAlignment="1">
      <alignment horizontal="center" vertical="center"/>
    </xf>
    <xf numFmtId="0" fontId="66" fillId="47" borderId="33" xfId="0" applyFont="1" applyFill="1" applyBorder="1" applyAlignment="1">
      <alignment horizontal="center" vertical="center"/>
    </xf>
    <xf numFmtId="0" fontId="66" fillId="47" borderId="30" xfId="0" applyFont="1" applyFill="1" applyBorder="1" applyAlignment="1">
      <alignment horizontal="center" vertical="center"/>
    </xf>
    <xf numFmtId="0" fontId="66" fillId="47" borderId="29" xfId="0" applyFont="1" applyFill="1" applyBorder="1" applyAlignment="1">
      <alignment horizontal="center" vertical="center"/>
    </xf>
    <xf numFmtId="0" fontId="66" fillId="47" borderId="28" xfId="0" applyFont="1" applyFill="1" applyBorder="1" applyAlignment="1">
      <alignment horizontal="center" vertical="center"/>
    </xf>
    <xf numFmtId="0" fontId="66" fillId="47" borderId="29" xfId="0" applyFont="1" applyFill="1" applyBorder="1" applyAlignment="1">
      <alignment horizontal="center" vertical="center" wrapText="1"/>
    </xf>
    <xf numFmtId="0" fontId="66" fillId="47" borderId="28" xfId="0" applyFont="1" applyFill="1" applyBorder="1" applyAlignment="1">
      <alignment horizontal="center" vertical="center" wrapText="1"/>
    </xf>
    <xf numFmtId="0" fontId="86" fillId="0" borderId="0" xfId="0" applyFont="1" applyAlignment="1">
      <alignment horizontal="center"/>
    </xf>
    <xf numFmtId="0" fontId="75" fillId="0" borderId="0" xfId="0" applyFont="1" applyAlignment="1">
      <alignment horizontal="center"/>
    </xf>
    <xf numFmtId="0" fontId="75" fillId="0" borderId="24" xfId="0" applyFont="1" applyBorder="1" applyAlignment="1">
      <alignment horizontal="center" vertical="center"/>
    </xf>
    <xf numFmtId="0" fontId="66" fillId="43" borderId="33" xfId="0" applyFont="1" applyFill="1" applyBorder="1" applyAlignment="1">
      <alignment horizontal="center" vertical="center"/>
    </xf>
    <xf numFmtId="0" fontId="66" fillId="43" borderId="29" xfId="0" applyFont="1" applyFill="1" applyBorder="1" applyAlignment="1">
      <alignment horizontal="center" vertical="center"/>
    </xf>
    <xf numFmtId="0" fontId="66" fillId="43" borderId="34" xfId="0" applyFont="1" applyFill="1" applyBorder="1" applyAlignment="1">
      <alignment horizontal="center" vertical="center"/>
    </xf>
    <xf numFmtId="0" fontId="67" fillId="44" borderId="33" xfId="0" applyFont="1" applyFill="1" applyBorder="1" applyAlignment="1">
      <alignment horizontal="center" vertical="center"/>
    </xf>
    <xf numFmtId="0" fontId="67" fillId="44" borderId="29" xfId="0" applyFont="1" applyFill="1" applyBorder="1" applyAlignment="1">
      <alignment horizontal="center" vertical="center"/>
    </xf>
    <xf numFmtId="0" fontId="67" fillId="44" borderId="34" xfId="0" applyFont="1" applyFill="1" applyBorder="1" applyAlignment="1">
      <alignment horizontal="center" vertical="center"/>
    </xf>
    <xf numFmtId="0" fontId="67" fillId="42" borderId="42" xfId="0" applyFont="1" applyFill="1" applyBorder="1" applyAlignment="1">
      <alignment horizontal="center" vertical="center" wrapText="1"/>
    </xf>
    <xf numFmtId="0" fontId="67" fillId="42" borderId="26" xfId="0" applyFont="1" applyFill="1" applyBorder="1" applyAlignment="1">
      <alignment horizontal="center" vertical="center" wrapText="1"/>
    </xf>
    <xf numFmtId="0" fontId="67" fillId="42" borderId="27" xfId="0" applyFont="1" applyFill="1" applyBorder="1" applyAlignment="1">
      <alignment horizontal="center" vertical="center" wrapText="1"/>
    </xf>
    <xf numFmtId="0" fontId="66" fillId="47" borderId="42" xfId="0" applyFont="1" applyFill="1" applyBorder="1" applyAlignment="1">
      <alignment horizontal="center" vertical="center" wrapText="1"/>
    </xf>
    <xf numFmtId="0" fontId="66" fillId="47" borderId="16" xfId="0" applyFont="1" applyFill="1" applyBorder="1" applyAlignment="1">
      <alignment horizontal="center" vertical="center" wrapText="1"/>
    </xf>
    <xf numFmtId="0" fontId="66" fillId="47" borderId="34" xfId="0" applyFont="1" applyFill="1" applyBorder="1" applyAlignment="1">
      <alignment horizontal="center" vertical="center"/>
    </xf>
    <xf numFmtId="0" fontId="66" fillId="47" borderId="31" xfId="0" applyFont="1" applyFill="1" applyBorder="1" applyAlignment="1">
      <alignment horizontal="center" vertical="center"/>
    </xf>
    <xf numFmtId="0" fontId="68" fillId="46" borderId="33" xfId="0" applyFont="1" applyFill="1" applyBorder="1" applyAlignment="1">
      <alignment horizontal="center" vertical="center" wrapText="1"/>
    </xf>
    <xf numFmtId="0" fontId="68" fillId="46" borderId="30" xfId="0" applyFont="1" applyFill="1" applyBorder="1" applyAlignment="1">
      <alignment horizontal="center" vertical="center" wrapText="1"/>
    </xf>
    <xf numFmtId="0" fontId="68" fillId="46" borderId="34" xfId="0" applyFont="1" applyFill="1" applyBorder="1" applyAlignment="1">
      <alignment horizontal="center" vertical="center" wrapText="1"/>
    </xf>
    <xf numFmtId="0" fontId="68" fillId="46" borderId="31" xfId="0" applyFont="1" applyFill="1" applyBorder="1" applyAlignment="1">
      <alignment horizontal="center" vertical="center" wrapText="1"/>
    </xf>
    <xf numFmtId="0" fontId="66" fillId="45" borderId="27" xfId="0" applyFont="1" applyFill="1" applyBorder="1" applyAlignment="1">
      <alignment horizontal="center" vertical="center"/>
    </xf>
    <xf numFmtId="0" fontId="66" fillId="45" borderId="29" xfId="0" applyFont="1" applyFill="1" applyBorder="1" applyAlignment="1">
      <alignment horizontal="center" vertical="center"/>
    </xf>
    <xf numFmtId="0" fontId="66" fillId="45" borderId="34" xfId="0" applyFont="1" applyFill="1" applyBorder="1" applyAlignment="1">
      <alignment horizontal="center" vertical="center"/>
    </xf>
  </cellXfs>
  <cellStyles count="755">
    <cellStyle name="¤wÂsÄý¹Lªº¶W³sµ²" xfId="1" xr:uid="{90195B46-D489-4C46-9F79-C0C4C55A13CF}"/>
    <cellStyle name="¶W³sµ²" xfId="2" xr:uid="{02C518AE-A22E-4E10-AE94-02E0B4953CBA}"/>
    <cellStyle name="0,0_x000d__x000a_NA_x000d__x000a_" xfId="3" xr:uid="{257E7D6A-79F7-4A9A-8119-355C512B664D}"/>
    <cellStyle name="20% - Accent1" xfId="4" builtinId="30" customBuiltin="1"/>
    <cellStyle name="20% - Accent1 2" xfId="5" xr:uid="{678EE175-574A-4593-BE28-2592E1540663}"/>
    <cellStyle name="20% - Accent1 2 2" xfId="6" xr:uid="{B83030FA-93EB-4C42-9844-CD823B6E86E0}"/>
    <cellStyle name="20% - Accent2" xfId="7" builtinId="34" customBuiltin="1"/>
    <cellStyle name="20% - Accent2 2" xfId="8" xr:uid="{1887560C-D34A-45D4-9024-EE0ED10E3256}"/>
    <cellStyle name="20% - Accent2 2 2" xfId="9" xr:uid="{0CBC808A-6415-41FF-A135-FDDB112A6A22}"/>
    <cellStyle name="20% - Accent3" xfId="10" builtinId="38" customBuiltin="1"/>
    <cellStyle name="20% - Accent3 2" xfId="11" xr:uid="{461A3BCA-4733-48F2-9EE0-4F710DE58815}"/>
    <cellStyle name="20% - Accent3 2 2" xfId="12" xr:uid="{DA5EF032-7AAF-4494-90AB-84406476845F}"/>
    <cellStyle name="20% - Accent4" xfId="13" builtinId="42" customBuiltin="1"/>
    <cellStyle name="20% - Accent4 2" xfId="14" xr:uid="{52FB05E4-BD3C-4CC8-BC5C-BFAB31EE3DC8}"/>
    <cellStyle name="20% - Accent4 2 2" xfId="15" xr:uid="{C8DB2D95-B983-4554-9458-C8A540CDFE60}"/>
    <cellStyle name="20% - Accent5" xfId="16" builtinId="46" customBuiltin="1"/>
    <cellStyle name="20% - Accent5 2" xfId="17" xr:uid="{72BACFF0-1C40-4F3E-904D-6549D293F980}"/>
    <cellStyle name="20% - Accent5 2 2" xfId="18" xr:uid="{207A53F1-5D48-43A2-9AB7-DD591D4B1D69}"/>
    <cellStyle name="20% - Accent6" xfId="19" builtinId="50" customBuiltin="1"/>
    <cellStyle name="20% - Accent6 2" xfId="20" xr:uid="{CC3E1255-4AD5-4319-99B3-5EBAF8E32D30}"/>
    <cellStyle name="20% - Accent6 2 2" xfId="21" xr:uid="{DF16368F-61B8-4119-ADDD-40F575C48427}"/>
    <cellStyle name="20% - 輔色1" xfId="22" xr:uid="{D05CA78D-83FC-4E49-8EB5-F8EACF7C40CF}"/>
    <cellStyle name="20% - 輔色2" xfId="23" xr:uid="{2408AD0C-FB81-4712-BF8D-709A08BC390F}"/>
    <cellStyle name="20% - 輔色3" xfId="24" xr:uid="{8852DCED-5692-4F12-807F-E5C6DE1CE699}"/>
    <cellStyle name="20% - 輔色4" xfId="25" xr:uid="{762AFE1A-A640-47F8-AF03-0988EAB77271}"/>
    <cellStyle name="20% - 輔色5" xfId="26" xr:uid="{8587088F-8205-4462-A7F1-57DB9FDBB95D}"/>
    <cellStyle name="20% - 輔色6" xfId="27" xr:uid="{FEC2A667-477E-4235-B44C-C2CEC584528A}"/>
    <cellStyle name="40% - Accent1" xfId="28" builtinId="31" customBuiltin="1"/>
    <cellStyle name="40% - Accent1 2" xfId="29" xr:uid="{B0D56786-D5AE-4CA8-BF39-10FD8542B335}"/>
    <cellStyle name="40% - Accent1 2 2" xfId="30" xr:uid="{F507C809-82DC-40F7-B490-7BDC9AB0AA2C}"/>
    <cellStyle name="40% - Accent2" xfId="31" builtinId="35" customBuiltin="1"/>
    <cellStyle name="40% - Accent2 2" xfId="32" xr:uid="{4D17DF50-7959-466A-8C4D-15A0415A57B3}"/>
    <cellStyle name="40% - Accent2 2 2" xfId="33" xr:uid="{70D73F78-D3A0-4F9A-B0A9-D1E86E817338}"/>
    <cellStyle name="40% - Accent3" xfId="34" builtinId="39" customBuiltin="1"/>
    <cellStyle name="40% - Accent3 2" xfId="35" xr:uid="{2B82AF38-F715-4B75-AC40-D12FA182C66F}"/>
    <cellStyle name="40% - Accent3 2 2" xfId="36" xr:uid="{C1C19073-58A7-4535-A0BD-759FEC62C2AF}"/>
    <cellStyle name="40% - Accent4" xfId="37" builtinId="43" customBuiltin="1"/>
    <cellStyle name="40% - Accent4 2" xfId="38" xr:uid="{434EC234-F9B4-4332-96C7-E27908CE98AF}"/>
    <cellStyle name="40% - Accent4 2 2" xfId="39" xr:uid="{3C478524-0801-4EB0-B7BE-2229E80AEF27}"/>
    <cellStyle name="40% - Accent5" xfId="40" builtinId="47" customBuiltin="1"/>
    <cellStyle name="40% - Accent5 2" xfId="41" xr:uid="{97A07704-7C3A-4730-B27B-1609ABAA3D7B}"/>
    <cellStyle name="40% - Accent5 2 2" xfId="42" xr:uid="{C8AA389D-1E5B-4CE0-9264-C92F2F59EE9D}"/>
    <cellStyle name="40% - Accent6" xfId="43" builtinId="51" customBuiltin="1"/>
    <cellStyle name="40% - Accent6 2" xfId="44" xr:uid="{73FB400C-8624-42CE-8EF2-B8C1E8EEC2AD}"/>
    <cellStyle name="40% - Accent6 2 2" xfId="45" xr:uid="{BF9EDDDC-4714-4C61-8028-10B7190A7556}"/>
    <cellStyle name="40% - 輔色1" xfId="46" xr:uid="{1C9283E5-F8A2-4E30-96FB-948464221503}"/>
    <cellStyle name="40% - 輔色2" xfId="47" xr:uid="{EEF986F1-DBF3-461F-B6E4-7BD1CAFC178B}"/>
    <cellStyle name="40% - 輔色3" xfId="48" xr:uid="{A15A2702-F751-4074-8806-27F2C46FF3D3}"/>
    <cellStyle name="40% - 輔色4" xfId="49" xr:uid="{44FF3383-5ED5-495B-B76C-CE1CD0070BD8}"/>
    <cellStyle name="40% - 輔色5" xfId="50" xr:uid="{0956D909-755D-4044-9CFD-A5E9B7031610}"/>
    <cellStyle name="40% - 輔色6" xfId="51" xr:uid="{7F7312E4-D824-4FCB-8E88-35491298B257}"/>
    <cellStyle name="60% - Accent1" xfId="52" builtinId="32" customBuiltin="1"/>
    <cellStyle name="60% - Accent1 2" xfId="53" xr:uid="{436687E8-E9CC-484D-B6E2-943A0BEDBE20}"/>
    <cellStyle name="60% - Accent2" xfId="54" builtinId="36" customBuiltin="1"/>
    <cellStyle name="60% - Accent2 2" xfId="55" xr:uid="{6DAFABD8-2DA5-4528-B199-AF5D3D428DD0}"/>
    <cellStyle name="60% - Accent3" xfId="56" builtinId="40" customBuiltin="1"/>
    <cellStyle name="60% - Accent3 2" xfId="57" xr:uid="{A60F8811-CAF2-41A1-AC01-02EC7A7957A4}"/>
    <cellStyle name="60% - Accent4" xfId="58" builtinId="44" customBuiltin="1"/>
    <cellStyle name="60% - Accent4 2" xfId="59" xr:uid="{ADBA56B8-C27B-4E80-9F75-74926A4DC5A1}"/>
    <cellStyle name="60% - Accent5" xfId="60" builtinId="48" customBuiltin="1"/>
    <cellStyle name="60% - Accent5 2" xfId="61" xr:uid="{4DE03C5A-C109-4E9D-96DC-6C8069139192}"/>
    <cellStyle name="60% - Accent6" xfId="62" builtinId="52" customBuiltin="1"/>
    <cellStyle name="60% - Accent6 2" xfId="63" xr:uid="{EE5B22BE-88E1-4074-BB30-E500546C8F62}"/>
    <cellStyle name="60% - 輔色1" xfId="64" xr:uid="{5BD59E22-B8BD-4BD6-946B-B4A24D4FB084}"/>
    <cellStyle name="60% - 輔色2" xfId="65" xr:uid="{08298162-F792-458D-9935-263C303A69A7}"/>
    <cellStyle name="60% - 輔色3" xfId="66" xr:uid="{40066231-89F1-4E59-848D-C800665D9FF1}"/>
    <cellStyle name="60% - 輔色4" xfId="67" xr:uid="{1D707CA0-E622-41A4-BC71-F148FA8A8371}"/>
    <cellStyle name="60% - 輔色5" xfId="68" xr:uid="{3350FDF1-20A5-4A7D-A337-60C9CA1433D8}"/>
    <cellStyle name="60% - 輔色6" xfId="69" xr:uid="{411363A9-4347-48E7-8ADA-9AC7E26E5726}"/>
    <cellStyle name="Accent1" xfId="70" builtinId="29" customBuiltin="1"/>
    <cellStyle name="Accent1 2" xfId="71" xr:uid="{6D50BF53-A6B6-487D-84AE-49CB5EC00C1C}"/>
    <cellStyle name="Accent2" xfId="72" builtinId="33" customBuiltin="1"/>
    <cellStyle name="Accent2 2" xfId="73" xr:uid="{369986B9-B2DE-4625-A137-AC36BC3A484B}"/>
    <cellStyle name="Accent3" xfId="74" builtinId="37" customBuiltin="1"/>
    <cellStyle name="Accent3 2" xfId="75" xr:uid="{ACAE9D47-26B8-4B94-804D-C5E48D084CE9}"/>
    <cellStyle name="Accent4" xfId="76" builtinId="41" customBuiltin="1"/>
    <cellStyle name="Accent4 2" xfId="77" xr:uid="{F6AAC4A6-1D30-4D18-8FE5-BAEECD64F7E8}"/>
    <cellStyle name="Accent5" xfId="78" builtinId="45" customBuiltin="1"/>
    <cellStyle name="Accent5 2" xfId="79" xr:uid="{66F24BA1-B9A3-4AF0-A81B-06902CC1C20D}"/>
    <cellStyle name="Accent6" xfId="80" builtinId="49" customBuiltin="1"/>
    <cellStyle name="Accent6 2" xfId="81" xr:uid="{2846EF49-6712-4937-B011-A12F5F5E536C}"/>
    <cellStyle name="args.style" xfId="82" xr:uid="{CF5B494F-85BD-4011-A065-3FD529A1D2A1}"/>
    <cellStyle name="Bad 2" xfId="83" xr:uid="{C51F4219-2D44-426B-A69E-537770C1F63E}"/>
    <cellStyle name="Berekening" xfId="84" xr:uid="{C980E9DF-3788-4E32-BE17-107D0A4A412F}"/>
    <cellStyle name="Calc Currency (0)" xfId="85" xr:uid="{037F9A87-8BB2-47BE-AC9C-E7C2B92CF285}"/>
    <cellStyle name="Calc Currency (0) 10" xfId="86" xr:uid="{820C65C5-8C72-47EB-8231-399B3B2B3DF1}"/>
    <cellStyle name="Calc Currency (0) 10 2" xfId="87" xr:uid="{DCDD05E4-08D4-49D3-B357-F46DA2668892}"/>
    <cellStyle name="Calc Currency (0) 10 2 2" xfId="88" xr:uid="{773B7D25-2B49-49F3-9C12-A29C4B55BAF4}"/>
    <cellStyle name="Calc Currency (0) 11" xfId="89" xr:uid="{D5059816-47C0-4FB4-8DF7-55A3B9A50733}"/>
    <cellStyle name="Calc Currency (0) 11 2" xfId="90" xr:uid="{9337EFBB-46B5-4D10-9953-B429F4981F10}"/>
    <cellStyle name="Calc Currency (0) 12" xfId="91" xr:uid="{324AA01C-0CF8-435B-969E-FC4EFDB6A73B}"/>
    <cellStyle name="Calc Currency (0) 2" xfId="92" xr:uid="{7DAE343B-1CF2-4BF4-B9E4-DB90FB0CF481}"/>
    <cellStyle name="Calc Currency (0) 2 2" xfId="93" xr:uid="{678C922E-9976-4246-9EC2-ACD24D74F540}"/>
    <cellStyle name="Calc Currency (0) 3" xfId="94" xr:uid="{AD20B32A-D04A-4EBE-A06E-D2E7D12084FA}"/>
    <cellStyle name="Calc Currency (0) 3 2" xfId="95" xr:uid="{9C04DA46-7CDA-4741-B342-87960FBF30B3}"/>
    <cellStyle name="Calc Currency (0) 3 2 2" xfId="96" xr:uid="{7F6C78AE-B5D2-424A-A9CF-82646FA10DAC}"/>
    <cellStyle name="Calc Currency (0) 3 3" xfId="97" xr:uid="{97E858F2-780F-41CF-96ED-4BA404E9DEF4}"/>
    <cellStyle name="Calc Currency (0) 4" xfId="98" xr:uid="{C0168D9B-EFD4-47C6-8632-E64846D272AA}"/>
    <cellStyle name="Calc Currency (0) 4 2" xfId="99" xr:uid="{C0C91202-3CB9-41AA-B02A-0E131724E0FE}"/>
    <cellStyle name="Calc Currency (0) 4 2 2" xfId="100" xr:uid="{54E1846E-7244-4487-B7E7-B9790E1D1E09}"/>
    <cellStyle name="Calc Currency (0) 4 3" xfId="101" xr:uid="{1E7B25FC-997F-4819-B712-86AA3760B01A}"/>
    <cellStyle name="Calc Currency (0) 5" xfId="102" xr:uid="{0A590BB9-8423-427A-9537-DE282D089393}"/>
    <cellStyle name="Calc Currency (0) 5 2" xfId="103" xr:uid="{9D037A45-2AD3-4C34-99E3-D88807EF63BD}"/>
    <cellStyle name="Calc Currency (0) 5 2 2" xfId="104" xr:uid="{FBA68BA3-0A7A-49DF-9844-E9AC91C3AC1E}"/>
    <cellStyle name="Calc Currency (0) 5 3" xfId="105" xr:uid="{598070F5-1AF9-4867-8420-D85ECD709F28}"/>
    <cellStyle name="Calc Currency (0) 5 3 2" xfId="106" xr:uid="{0212F89E-6AD7-4B7E-86F6-4DB9C9F94902}"/>
    <cellStyle name="Calc Currency (0) 5 4" xfId="107" xr:uid="{ACFCEE7C-69E0-4F82-B115-AE0CCE820810}"/>
    <cellStyle name="Calc Currency (0) 6" xfId="108" xr:uid="{D18812C9-DAE4-4EF0-85CD-255FFC59C9D7}"/>
    <cellStyle name="Calc Currency (0) 6 2" xfId="109" xr:uid="{C2E5C8DB-4635-48B8-93FC-D269F628952E}"/>
    <cellStyle name="Calc Currency (0) 6 2 2" xfId="110" xr:uid="{7883797B-8347-442B-9829-11BAB6CA91F6}"/>
    <cellStyle name="Calc Currency (0) 6 3" xfId="111" xr:uid="{D4BDC111-4978-4957-81D9-98E8937C5BFC}"/>
    <cellStyle name="Calc Currency (0) 7" xfId="112" xr:uid="{0BD5CB56-9255-4036-8DFD-E366ED1D1231}"/>
    <cellStyle name="Calc Currency (0) 7 2" xfId="113" xr:uid="{C81DAAB7-79EF-419B-9AE6-6846068D2275}"/>
    <cellStyle name="Calc Currency (0) 7 2 2" xfId="114" xr:uid="{7F37CB7B-512A-44F1-A15C-72A3FE87706D}"/>
    <cellStyle name="Calc Currency (0) 7 3" xfId="115" xr:uid="{C6F83A3C-DA99-4761-B2A8-4EF7ABF5D778}"/>
    <cellStyle name="Calc Currency (0) 8" xfId="116" xr:uid="{1490F7EE-DDD6-4CCD-B754-A050CB64F3D6}"/>
    <cellStyle name="Calc Currency (0) 8 2" xfId="117" xr:uid="{50B047CB-43AD-42E2-9111-57C24BE01182}"/>
    <cellStyle name="Calc Currency (0) 8 2 2" xfId="118" xr:uid="{A6577C58-ADED-41F4-88EA-049782A0FF05}"/>
    <cellStyle name="Calc Currency (0) 8 3" xfId="119" xr:uid="{EDE20CFA-422E-4CAE-8C92-5C54E41E2479}"/>
    <cellStyle name="Calc Currency (0) 8 3 2" xfId="120" xr:uid="{58548A15-3BF5-4EE6-9CA9-B1799A59D7ED}"/>
    <cellStyle name="Calc Currency (0) 8 3 2 2" xfId="121" xr:uid="{719B9A9B-86AC-4C7B-B576-B06A4263FE73}"/>
    <cellStyle name="Calc Currency (0) 8 3 3" xfId="122" xr:uid="{FCDE6BB4-8DE1-4409-A9E4-B8C410FDAE86}"/>
    <cellStyle name="Calc Currency (0) 8 4" xfId="123" xr:uid="{9FB7BB09-2752-4863-A314-C131153E55B9}"/>
    <cellStyle name="Calc Currency (0) 9" xfId="124" xr:uid="{B43D3FA1-1E17-40BB-8091-CF1B721024B4}"/>
    <cellStyle name="Calc Currency (0) 9 2" xfId="125" xr:uid="{DE68F39F-599C-444F-B5F0-49C737CCDBA9}"/>
    <cellStyle name="Calc Currency (0) 9 2 2" xfId="126" xr:uid="{E77C86F0-9DD9-419F-9CE1-8C53B1624209}"/>
    <cellStyle name="Calc Currency (0) 9 3" xfId="127" xr:uid="{30078989-258A-436A-B4DC-A9C7ECF28324}"/>
    <cellStyle name="Calc Currency (2)" xfId="128" xr:uid="{E87420FA-FB17-41F0-9C76-AEDCBCFA9C6F}"/>
    <cellStyle name="Calc Percent (0)" xfId="129" xr:uid="{0186F07E-EAEC-4093-A5F7-E4692F2E16E3}"/>
    <cellStyle name="Calc Percent (1)" xfId="130" xr:uid="{B30E4092-8A82-4AE1-990B-E1FD14FF297D}"/>
    <cellStyle name="Calc Percent (2)" xfId="131" xr:uid="{B81D9A19-1D26-4BAC-B225-8D4EC6C2FE15}"/>
    <cellStyle name="Calc Units (0)" xfId="132" xr:uid="{48E68DDF-C77E-4B17-A741-A0F14FC18237}"/>
    <cellStyle name="Calc Units (1)" xfId="133" xr:uid="{86D1213A-CD4F-466E-81FC-1D1278A10868}"/>
    <cellStyle name="Calc Units (2)" xfId="134" xr:uid="{1D2D32AD-2B8A-4F83-B03E-8AB069E503D6}"/>
    <cellStyle name="Calculation 2" xfId="135" xr:uid="{1B10FB24-E311-43E1-860C-EA434F036EC6}"/>
    <cellStyle name="Check Cell 2" xfId="136" xr:uid="{150DE1BF-91FF-4D73-8B97-FD08D2B1952C}"/>
    <cellStyle name="Comma [0] 2" xfId="137" xr:uid="{DDBFC244-3CD3-4250-9585-AAF8CD21702A}"/>
    <cellStyle name="Comma [00]" xfId="138" xr:uid="{2DAD4AE7-57BA-4AC5-A758-43D3E55FEFBE}"/>
    <cellStyle name="Comma 10" xfId="139" xr:uid="{A0DA1B56-6924-47D5-B18B-A497DAA40BD8}"/>
    <cellStyle name="Comma 11" xfId="140" xr:uid="{9B845C74-6CEA-4641-B164-AAB0CC55288D}"/>
    <cellStyle name="Comma 12" xfId="141" xr:uid="{78FCA388-CB7A-4D5F-A558-83D5CEE4388F}"/>
    <cellStyle name="Comma 13" xfId="142" xr:uid="{69FEDBC5-9236-4752-879F-6DB6801EC3AB}"/>
    <cellStyle name="Comma 14" xfId="143" xr:uid="{CAD2FAAF-6496-4122-90A9-BB017D9FE1C8}"/>
    <cellStyle name="Comma 15" xfId="144" xr:uid="{95C4DFB8-C3A2-42F5-BDBE-91B47D1A13EB}"/>
    <cellStyle name="Comma 16" xfId="145" xr:uid="{BE624661-53CE-4A83-AA9E-25916C8C2579}"/>
    <cellStyle name="Comma 17" xfId="146" xr:uid="{E84CD6FB-3AB6-45A4-B717-89FB5919A8B0}"/>
    <cellStyle name="Comma 2" xfId="147" xr:uid="{8CB77557-DB9A-46FF-8151-CE5E983B6AA6}"/>
    <cellStyle name="Comma 2 2" xfId="148" xr:uid="{DAE68431-00D8-46E1-9912-BBD42441C331}"/>
    <cellStyle name="Comma 2 3" xfId="149" xr:uid="{6BC8593F-BA61-4412-AE4D-6E79F4168EB4}"/>
    <cellStyle name="Comma 2 4" xfId="150" xr:uid="{09C33250-07E3-448E-A85F-A85FABC9D64C}"/>
    <cellStyle name="Comma 2 5" xfId="151" xr:uid="{CD23B3E6-1397-4355-A70A-4A2E2E12473D}"/>
    <cellStyle name="Comma 3" xfId="152" xr:uid="{EAE6A892-41F0-43D4-800C-99A3453A51A8}"/>
    <cellStyle name="Comma 3 2" xfId="153" xr:uid="{AE249371-B05B-4160-8B16-88409501D2F7}"/>
    <cellStyle name="Comma 3 2 2" xfId="154" xr:uid="{BD3A848D-32DC-472F-857A-ADB3F10C98F1}"/>
    <cellStyle name="Comma 3 2 3" xfId="155" xr:uid="{4CE1EB95-8A33-4BB4-AEAD-30CE7DC805D9}"/>
    <cellStyle name="Comma 3 3" xfId="156" xr:uid="{174446C4-1A1A-44F9-9F4E-E969E748488B}"/>
    <cellStyle name="Comma 3 4" xfId="157" xr:uid="{4A6A370C-BBE4-40E6-8695-70986CE42F80}"/>
    <cellStyle name="Comma 3 5" xfId="158" xr:uid="{5B89610A-76A3-4159-A55B-59556388A32F}"/>
    <cellStyle name="Comma 4" xfId="159" xr:uid="{1654181A-7255-4AA3-BD37-3C2952FF7BE2}"/>
    <cellStyle name="Comma 5" xfId="160" xr:uid="{78ED8384-9156-45A6-A8A6-EB6F98FD4F86}"/>
    <cellStyle name="Comma 6" xfId="161" xr:uid="{13DCD07D-D615-4243-B19D-A1D2F3FE1A53}"/>
    <cellStyle name="Comma 6 2" xfId="162" xr:uid="{F710C67E-1E2A-4D2F-AF40-DB248EFA0B72}"/>
    <cellStyle name="Comma 7" xfId="163" xr:uid="{98D46A3D-1394-4D18-9FD4-368812997889}"/>
    <cellStyle name="Comma 7 2" xfId="164" xr:uid="{55782AF2-279D-4F62-B0B1-F26B439945C4}"/>
    <cellStyle name="Comma 8" xfId="165" xr:uid="{4B842980-E108-4C29-A874-F26A77A617B0}"/>
    <cellStyle name="Comma 9" xfId="166" xr:uid="{00669A90-B98B-462D-A10D-CABD99BECF42}"/>
    <cellStyle name="Controlecel" xfId="167" xr:uid="{E9331007-752A-4624-A8D5-DD23C0C1FCA5}"/>
    <cellStyle name="Copied" xfId="168" xr:uid="{019B0EC5-A949-4661-82AE-FC6A8DA7B9F4}"/>
    <cellStyle name="COST1" xfId="169" xr:uid="{E1AFDAB5-75BA-4FAF-AABF-DB9FAA6BB60A}"/>
    <cellStyle name="Currency [0] 2" xfId="170" xr:uid="{C8E09780-9FC1-4C3B-85E0-623DF00B03D2}"/>
    <cellStyle name="Currency [00]" xfId="171" xr:uid="{4EA43E3B-7E7C-4F14-A38F-F0CBC2C299E7}"/>
    <cellStyle name="Currency 2" xfId="172" xr:uid="{97D11111-FD32-47A6-99E7-41ED067B8D11}"/>
    <cellStyle name="Currency 2 2" xfId="173" xr:uid="{5032F4AF-81F7-4D33-A160-D3504DE815C5}"/>
    <cellStyle name="Currency 3" xfId="174" xr:uid="{22BFDA53-ADE0-461F-A878-CC2155A54B78}"/>
    <cellStyle name="Currency 3 2" xfId="175" xr:uid="{155ADD95-1C67-4CB7-87BB-1103F39569E9}"/>
    <cellStyle name="Currency 4" xfId="176" xr:uid="{EE19ED9A-A937-4246-B2F2-4AF0F99AC9DE}"/>
    <cellStyle name="Currency 5" xfId="177" xr:uid="{A4C5942D-5DA1-4C47-BD53-044F2DABEF01}"/>
    <cellStyle name="Currency 6" xfId="178" xr:uid="{76C8442C-73F0-468C-B8C7-958C3F3462B0}"/>
    <cellStyle name="Date Short" xfId="179" xr:uid="{FD7FFB1B-CA2F-4D85-845A-5013C8A35A38}"/>
    <cellStyle name="DELTA" xfId="180" xr:uid="{5F8A15CF-40D7-466B-9D2A-62DD091E866C}"/>
    <cellStyle name="Enter Currency (0)" xfId="181" xr:uid="{B8A16A81-DCD2-410A-8F8E-978BAF1F9AAE}"/>
    <cellStyle name="Enter Currency (2)" xfId="182" xr:uid="{BA72B454-9028-4666-9E2C-DC4C7E2DCFDB}"/>
    <cellStyle name="Enter Units (0)" xfId="183" xr:uid="{0281E27E-8296-4322-AF99-CE34B5671699}"/>
    <cellStyle name="Enter Units (1)" xfId="184" xr:uid="{8069FF52-41DB-48CA-933D-BE85157F50FC}"/>
    <cellStyle name="Enter Units (2)" xfId="185" xr:uid="{2FF71D02-BC8F-438D-A160-1716B419F766}"/>
    <cellStyle name="Entered" xfId="186" xr:uid="{5B22D9CF-D4E7-4AEF-B561-7687AEE39A1B}"/>
    <cellStyle name="Explanatory Text 2" xfId="187" xr:uid="{729F1E73-14F4-4290-AFC2-5956C55ED1B4}"/>
    <cellStyle name="Gekoppelde cel" xfId="188" xr:uid="{7FE1C63A-5AAA-47E6-9B5F-0F780FFEC3FC}"/>
    <cellStyle name="Goed" xfId="189" xr:uid="{F8926365-FB6E-4626-AE6F-C5ED63570776}"/>
    <cellStyle name="Good 2" xfId="190" xr:uid="{78733AC4-F001-4566-A939-4B386DE545C0}"/>
    <cellStyle name="Grey" xfId="191" xr:uid="{4EE402F6-A315-4FDF-A6CD-310E98B69A50}"/>
    <cellStyle name="Header1" xfId="192" xr:uid="{30AB6EEC-2E1C-4AFD-AE9F-6360C9B968F2}"/>
    <cellStyle name="Header1 2" xfId="193" xr:uid="{3FEB97F1-D2C3-4851-ACC0-B67EE2DD0BE2}"/>
    <cellStyle name="Header2" xfId="194" xr:uid="{ADCC7252-98B8-4C9B-8EFE-E8AE291BA6CD}"/>
    <cellStyle name="Header2 2" xfId="195" xr:uid="{D2B8CEFC-32E7-4D6A-837F-40A1D4095376}"/>
    <cellStyle name="Heading 1 2" xfId="196" xr:uid="{8BC36354-F3B6-4B09-B9ED-8CFC7434E0A0}"/>
    <cellStyle name="Heading 2 2" xfId="197" xr:uid="{A325B705-F365-463F-8E5E-A595896A259F}"/>
    <cellStyle name="Heading 3 2" xfId="198" xr:uid="{E95E92CF-B07E-47D4-BF4C-F28C7830F851}"/>
    <cellStyle name="Heading 4 2" xfId="199" xr:uid="{E2C14B72-901F-4B46-8321-4C7F115940D4}"/>
    <cellStyle name="Hyperlink 2" xfId="200" xr:uid="{B99233BE-F2F8-44AC-8C9F-3F4E160DB14B}"/>
    <cellStyle name="Hyperlink 3" xfId="201" xr:uid="{C05E48AB-F656-4616-9F51-FB19070089E1}"/>
    <cellStyle name="Hyperlink seguido" xfId="202" xr:uid="{7D67D52F-3D91-4AC4-B569-F606B29CAB62}"/>
    <cellStyle name="Input [yellow]" xfId="203" xr:uid="{77E9EBEC-5073-4A06-84AA-D57D5F9A9105}"/>
    <cellStyle name="Input 2" xfId="204" xr:uid="{9F13301F-4E85-4B4B-BDBA-2F2F0C876777}"/>
    <cellStyle name="Input 3" xfId="205" xr:uid="{543F7DD0-C059-4F06-970A-4808FEE79DDB}"/>
    <cellStyle name="Input 4" xfId="206" xr:uid="{62BB23F6-4887-4DA4-BF67-7DDB5AC0CD7D}"/>
    <cellStyle name="Input 5" xfId="207" xr:uid="{AF9FD3F1-FACC-446A-8EF8-0BFF40019DAF}"/>
    <cellStyle name="Input 6" xfId="208" xr:uid="{631A24EC-11DB-4796-ADC0-5E995F4950F7}"/>
    <cellStyle name="Input 7" xfId="209" xr:uid="{BC2CFD02-226B-4E79-9A02-329BC90B3F1F}"/>
    <cellStyle name="Input 8" xfId="210" xr:uid="{67947B4A-03E1-40F7-A609-F5D1A46AAA41}"/>
    <cellStyle name="Input 9" xfId="211" xr:uid="{1E46FCF6-0D90-4F0B-8E59-6CCBA9AFF4D8}"/>
    <cellStyle name="Input Cells" xfId="212" xr:uid="{C335B55A-6AAB-437D-A703-44C786E39F7A}"/>
    <cellStyle name="Invoer" xfId="213" xr:uid="{D950DEA4-BD82-44F6-A8CE-FAD59FD67A4E}"/>
    <cellStyle name="Kop 1" xfId="214" xr:uid="{8D830468-DF0A-4B96-AD98-3E6927714B7A}"/>
    <cellStyle name="Kop 2" xfId="215" xr:uid="{060C75CC-804B-4FD9-A445-56DEA42232A3}"/>
    <cellStyle name="Kop 3" xfId="216" xr:uid="{0F990640-7FBE-4268-8FFA-16B8574FD1B7}"/>
    <cellStyle name="Kop 4" xfId="217" xr:uid="{ECAE41B2-5A8E-4E97-8581-93443B584F89}"/>
    <cellStyle name="Link Currency (0)" xfId="218" xr:uid="{17AF2D0A-34E3-4CD0-BBA3-BFF64CDEF2E9}"/>
    <cellStyle name="Link Currency (2)" xfId="219" xr:uid="{C985932D-18CB-46E4-A032-127ECFE21E52}"/>
    <cellStyle name="Link Units (0)" xfId="220" xr:uid="{D7578E18-F9D3-4D1C-A8BD-95DBC8DE62BB}"/>
    <cellStyle name="Link Units (1)" xfId="221" xr:uid="{E810377F-047B-4691-BE7F-EA7DEAE840AE}"/>
    <cellStyle name="Link Units (2)" xfId="222" xr:uid="{926E1A28-FCA0-41E4-A700-E15AF39A176C}"/>
    <cellStyle name="Linked Cell 2" xfId="223" xr:uid="{7C8C6851-BD6B-4083-8F26-904EA532360C}"/>
    <cellStyle name="Linked Cells" xfId="224" xr:uid="{C30D636A-4126-419C-A767-216C45D51C9A}"/>
    <cellStyle name="Milliers [0]_!!!GO" xfId="225" xr:uid="{1E8278C7-9A78-460C-9CF1-4008D796739C}"/>
    <cellStyle name="Milliers_!!!GO" xfId="226" xr:uid="{F631F9D3-3521-4BE7-AC11-198CE933809E}"/>
    <cellStyle name="Moeda [0]_aola" xfId="227" xr:uid="{115F897A-A181-41AB-913F-889CF19E5E3A}"/>
    <cellStyle name="Moeda_aola" xfId="228" xr:uid="{28B59AA6-A39D-493D-B4C0-95373FE30461}"/>
    <cellStyle name="Monétaire [0]_!!!GO" xfId="229" xr:uid="{42A068A3-52D6-42AF-8D53-8E6B7BF2C089}"/>
    <cellStyle name="Monétaire_!!!GO" xfId="230" xr:uid="{C3A35CDD-A54B-4A9C-A027-89FDE1F624B5}"/>
    <cellStyle name="Neutraal" xfId="231" xr:uid="{4F225566-5B81-4A5C-814F-AB9C409BD374}"/>
    <cellStyle name="Neutral 2" xfId="232" xr:uid="{D33DA377-1C1C-4B18-8273-09556C57CC85}"/>
    <cellStyle name="Normal" xfId="0" builtinId="0"/>
    <cellStyle name="Normal - Style1" xfId="233" xr:uid="{A463CF4C-2B23-40F5-BBCF-D5A3AFA8FB38}"/>
    <cellStyle name="Normal 10" xfId="234" xr:uid="{BA48F598-4200-4373-926A-6643D651666E}"/>
    <cellStyle name="Normal 10 2" xfId="235" xr:uid="{1C7ED3E0-B0D7-47AC-9398-87571C557C14}"/>
    <cellStyle name="Normal 10 3" xfId="236" xr:uid="{D661F2BD-9868-4D26-BFCC-B2F155B7D9D5}"/>
    <cellStyle name="Normal 10 4" xfId="237" xr:uid="{EB32598C-EBCC-4FCA-8150-96B85C45E070}"/>
    <cellStyle name="Normal 100" xfId="238" xr:uid="{D9445DC0-4F70-4C53-8E30-D8C4FA06F309}"/>
    <cellStyle name="Normal 100 2" xfId="239" xr:uid="{3AAD5545-4CE9-4828-9117-74223A5F6868}"/>
    <cellStyle name="Normal 101" xfId="240" xr:uid="{45A4379A-1C51-4799-96B6-7C18F54D0414}"/>
    <cellStyle name="Normal 101 2" xfId="241" xr:uid="{C27AE914-D51A-4BB7-8CB2-818B0CF8AF30}"/>
    <cellStyle name="Normal 102" xfId="242" xr:uid="{B8537C02-7CC3-4B01-872F-7F0CC142A9EA}"/>
    <cellStyle name="Normal 102 2" xfId="243" xr:uid="{844AB1CC-E3D7-48CA-9E49-7E4BE126D18C}"/>
    <cellStyle name="Normal 103" xfId="244" xr:uid="{885ADF08-CA1C-42DC-AB8B-3C8B62C7AE10}"/>
    <cellStyle name="Normal 103 2" xfId="245" xr:uid="{B074CA07-BBA6-4C24-B026-2A5362E9560C}"/>
    <cellStyle name="Normal 1039" xfId="246" xr:uid="{9F571003-7875-4A6C-A72C-05A2F7B8EB75}"/>
    <cellStyle name="Normal 104" xfId="247" xr:uid="{7CDEFD33-9D85-4519-AD72-97FD2E40F5DF}"/>
    <cellStyle name="Normal 104 2" xfId="248" xr:uid="{3BB5363D-66FA-4000-9CF6-B060938B2548}"/>
    <cellStyle name="Normal 105" xfId="249" xr:uid="{BA68B621-13B9-4971-AF74-CCE8EFE71720}"/>
    <cellStyle name="Normal 105 2" xfId="250" xr:uid="{91BD3672-9C51-4BE9-BC00-593DF090A4FA}"/>
    <cellStyle name="Normal 106" xfId="251" xr:uid="{7DF983A4-1E32-419C-BFF5-6D68BE9820DC}"/>
    <cellStyle name="Normal 106 2" xfId="252" xr:uid="{E52056EB-0F65-4544-B1A6-F78D568F0B5F}"/>
    <cellStyle name="Normal 107" xfId="253" xr:uid="{4D5FFF63-CDF0-459A-816D-ED1F61E7E0B2}"/>
    <cellStyle name="Normal 107 2" xfId="254" xr:uid="{59CE4029-806F-4EBA-8C6A-996561603549}"/>
    <cellStyle name="Normal 108" xfId="255" xr:uid="{A142ADC8-6825-42AA-BB22-90DAB03DDA62}"/>
    <cellStyle name="Normal 108 2" xfId="256" xr:uid="{7092CFDD-ADC3-42AB-8B44-2DD85C5E4764}"/>
    <cellStyle name="Normal 109" xfId="257" xr:uid="{D1519AB7-5EDF-4FC9-81D9-66855AB4D06E}"/>
    <cellStyle name="Normal 109 2" xfId="258" xr:uid="{39F8ABB3-63B4-4347-812E-CAEC7CFD17E1}"/>
    <cellStyle name="Normal 1098" xfId="259" xr:uid="{D46BF8AD-4037-4E6C-874A-D4D4F4D9DF4B}"/>
    <cellStyle name="Normal 11" xfId="260" xr:uid="{4DA4C791-3C28-4E19-AD15-A0B16B71C840}"/>
    <cellStyle name="Normal 11 2" xfId="261" xr:uid="{603EC91A-EBC3-45D7-B688-692662076415}"/>
    <cellStyle name="Normal 11 2 2" xfId="262" xr:uid="{7F2B96BE-36E7-4BCE-AE90-AF1FF40EEB93}"/>
    <cellStyle name="Normal 110" xfId="263" xr:uid="{58B7213C-2C25-450F-95AA-DC5271E8C547}"/>
    <cellStyle name="Normal 110 2" xfId="264" xr:uid="{27FCAC8A-9ED0-412E-908D-AC98449FC0B0}"/>
    <cellStyle name="Normal 111" xfId="265" xr:uid="{863CF365-8561-48D9-BD9A-3608E7C20AEA}"/>
    <cellStyle name="Normal 111 2" xfId="266" xr:uid="{F04D3F3D-E68E-48A4-990C-C7805C1F4493}"/>
    <cellStyle name="Normal 1113" xfId="267" xr:uid="{E9FFA843-9702-4372-AFE7-38132FB9745A}"/>
    <cellStyle name="Normal 112" xfId="268" xr:uid="{E0F0032A-FE9E-4F26-B888-9E1FC76EACB1}"/>
    <cellStyle name="Normal 112 2" xfId="269" xr:uid="{8848E5FC-D8DA-4750-B33D-7E09DE559B9D}"/>
    <cellStyle name="Normal 1125" xfId="270" xr:uid="{09916481-FC8C-492B-A6BA-279A04908BA8}"/>
    <cellStyle name="Normal 1126" xfId="271" xr:uid="{B1DE947B-2F72-4144-9264-8A9EBBE682C7}"/>
    <cellStyle name="Normal 113" xfId="272" xr:uid="{55538BF9-B035-45C5-B296-A2C04B90CFB6}"/>
    <cellStyle name="Normal 1132" xfId="273" xr:uid="{9BDBA2DD-5AC8-4AA4-8EF3-5391FE9630B2}"/>
    <cellStyle name="Normal 1134" xfId="274" xr:uid="{002A5C25-4FFD-4CB7-ADE5-D8C212925163}"/>
    <cellStyle name="Normal 1139" xfId="275" xr:uid="{66817122-C5B3-4752-835A-EF6CB194FF77}"/>
    <cellStyle name="Normal 114" xfId="276" xr:uid="{D1EF0772-E106-4D23-9398-9308D6867645}"/>
    <cellStyle name="Normal 1141" xfId="277" xr:uid="{13C1C969-2D45-4151-9675-E2E8EDC8CDE9}"/>
    <cellStyle name="Normal 1142" xfId="278" xr:uid="{381D3D67-D7BF-42AC-B36E-A882A27D0BB1}"/>
    <cellStyle name="Normal 1143" xfId="279" xr:uid="{4D43253E-35FB-4968-BCAF-47BA850FEAFC}"/>
    <cellStyle name="Normal 1145" xfId="280" xr:uid="{C73E0687-53D6-4DF7-B414-C4F5AC1A7EE5}"/>
    <cellStyle name="Normal 1146" xfId="281" xr:uid="{C0B72906-EAC7-40E4-AF3C-5F5AD746B94F}"/>
    <cellStyle name="Normal 1147" xfId="282" xr:uid="{07FAAE7E-0E38-400D-84E5-D42EA557D3A5}"/>
    <cellStyle name="Normal 1148" xfId="283" xr:uid="{C73D2B79-B787-4B42-9594-AD14FAFF5D42}"/>
    <cellStyle name="Normal 1149" xfId="284" xr:uid="{7807538A-878D-45FA-8AF2-5E39EABE2614}"/>
    <cellStyle name="Normal 115" xfId="285" xr:uid="{E67CBE9B-8B1D-43A5-9E8C-917CD29CE828}"/>
    <cellStyle name="Normal 1150" xfId="286" xr:uid="{7F5400F9-4CAC-48AE-9C6E-5341761A28B0}"/>
    <cellStyle name="Normal 116" xfId="287" xr:uid="{2E93FA7C-F3F3-47FD-BD20-1909F81C1981}"/>
    <cellStyle name="Normal 117" xfId="288" xr:uid="{FF1919FB-60A9-4CAE-8359-39BC17A4EDC6}"/>
    <cellStyle name="Normal 118" xfId="289" xr:uid="{ECB131E7-0DDF-4808-A435-3A4F0086575C}"/>
    <cellStyle name="Normal 119" xfId="290" xr:uid="{DB775C11-0F7A-4713-A8F4-89040C3CF5F1}"/>
    <cellStyle name="Normal 12" xfId="291" xr:uid="{928AF610-530E-4FF2-8675-45C40FF19D1D}"/>
    <cellStyle name="Normal 12 2" xfId="292" xr:uid="{A3EAAF58-97B2-40C3-919E-21EDE699CBBF}"/>
    <cellStyle name="Normal 12 3" xfId="293" xr:uid="{E88351CE-5176-49DC-98DB-89F93D7EE618}"/>
    <cellStyle name="Normal 12 4" xfId="294" xr:uid="{80504111-6088-4FF3-A86E-7EFA96C8F434}"/>
    <cellStyle name="Normal 120" xfId="295" xr:uid="{E209B46D-DA4D-4819-BF95-EA21E44A3904}"/>
    <cellStyle name="Normal 121" xfId="296" xr:uid="{F1DDB43C-79FC-43B9-BC37-4EFFA73ED392}"/>
    <cellStyle name="Normal 122" xfId="297" xr:uid="{FD1AF975-3992-46F1-A232-52A638C022F5}"/>
    <cellStyle name="Normal 123" xfId="298" xr:uid="{DCCC585A-FC60-470E-9292-746A6C319FDB}"/>
    <cellStyle name="Normal 124" xfId="299" xr:uid="{62FE1754-855E-42E3-82DB-34634D3CBC12}"/>
    <cellStyle name="Normal 125" xfId="300" xr:uid="{6BC74CBD-08C4-463B-B029-14D42F6EE210}"/>
    <cellStyle name="Normal 126" xfId="301" xr:uid="{E69D0881-AAE5-4A65-B90D-2A9B1E3A91B0}"/>
    <cellStyle name="Normal 127" xfId="302" xr:uid="{2BE8A3F7-93F9-4F0D-B2F4-F1E30342B9DB}"/>
    <cellStyle name="Normal 128" xfId="303" xr:uid="{75120923-9C59-414C-8B77-641468DBB770}"/>
    <cellStyle name="Normal 129" xfId="304" xr:uid="{D7C3DA53-A055-45F4-8336-1F471ED107C5}"/>
    <cellStyle name="Normal 13" xfId="305" xr:uid="{42A7D2A6-C22C-440D-922B-316C292D5905}"/>
    <cellStyle name="Normal 13 2" xfId="306" xr:uid="{09F07A77-61E8-4B8A-AFF0-A1279B0980AE}"/>
    <cellStyle name="Normal 13 2 2" xfId="307" xr:uid="{315FB1EF-78AF-4572-9EAF-66EA004333C2}"/>
    <cellStyle name="Normal 13 2 2 2" xfId="308" xr:uid="{D1088D1A-4B8E-4F67-8135-A0C3F6404993}"/>
    <cellStyle name="Normal 13 3" xfId="309" xr:uid="{6222A679-E654-4498-A922-E47DFEFCFF98}"/>
    <cellStyle name="Normal 13 4" xfId="310" xr:uid="{03E2FCA8-786F-4514-A96A-CF2A69C5911E}"/>
    <cellStyle name="Normal 130" xfId="311" xr:uid="{1F00FC54-AA96-4DEB-B72D-121C2F7E6E02}"/>
    <cellStyle name="Normal 131" xfId="312" xr:uid="{944A1217-A9A7-4115-A436-249E16338B9F}"/>
    <cellStyle name="Normal 132" xfId="313" xr:uid="{385725F0-46F2-4960-855F-209CAAA6EB2C}"/>
    <cellStyle name="Normal 133" xfId="314" xr:uid="{42D5DA3E-C805-44E6-8794-A7C156DD9B63}"/>
    <cellStyle name="Normal 134" xfId="315" xr:uid="{0C54BE41-C1DB-4F50-BB68-FEA7DCFD1AD4}"/>
    <cellStyle name="Normal 135" xfId="316" xr:uid="{2FBE438A-B574-4CDF-B523-D025A63976DB}"/>
    <cellStyle name="Normal 136" xfId="317" xr:uid="{A9EFFA8B-22FD-48D1-B854-3725716ADF23}"/>
    <cellStyle name="Normal 137" xfId="318" xr:uid="{F996F2FB-A0CD-430A-86CF-71B216349AE5}"/>
    <cellStyle name="Normal 138" xfId="319" xr:uid="{28EDEB7F-99CF-4792-9E45-03F5F3C89F5A}"/>
    <cellStyle name="Normal 139" xfId="320" xr:uid="{E2ED691D-D820-4587-80C7-33712CED7973}"/>
    <cellStyle name="Normal 14" xfId="321" xr:uid="{6C4A9E7F-A605-4DFD-B095-44F76BFFAFF1}"/>
    <cellStyle name="Normal 14 2" xfId="322" xr:uid="{83135FA4-15F6-4A0C-8CEE-59DAB7F3BAE5}"/>
    <cellStyle name="Normal 14 2 2" xfId="323" xr:uid="{77BA2213-C91D-4BA7-8603-6599330309DD}"/>
    <cellStyle name="Normal 14 3" xfId="324" xr:uid="{AF5A97A3-6E6D-4B9B-ACCC-C4310B4233D2}"/>
    <cellStyle name="Normal 14 4" xfId="325" xr:uid="{509B5A97-6A11-4054-BBE6-BCDF434774BE}"/>
    <cellStyle name="Normal 140" xfId="326" xr:uid="{3058F8A9-9B9D-4CA1-8F5F-FD0D22A91C3C}"/>
    <cellStyle name="Normal 141" xfId="327" xr:uid="{306939D1-9788-49BB-988C-6172AC6FA7ED}"/>
    <cellStyle name="Normal 142" xfId="328" xr:uid="{DD633BA2-B2DF-4DD7-A18E-4E407B1B6DD2}"/>
    <cellStyle name="Normal 143" xfId="329" xr:uid="{FC818181-661D-4193-989C-2D0BB70E1BC8}"/>
    <cellStyle name="Normal 144" xfId="330" xr:uid="{27726EF2-1379-4943-98AE-A060A99C30C5}"/>
    <cellStyle name="Normal 145" xfId="331" xr:uid="{DAC3FB21-5A14-4816-95AE-33D93E237ACA}"/>
    <cellStyle name="Normal 146" xfId="332" xr:uid="{5A91BA75-0246-472F-AF54-EC4108851623}"/>
    <cellStyle name="Normal 147" xfId="333" xr:uid="{7A4ACAAA-6731-43F1-BD22-7BF85A580E47}"/>
    <cellStyle name="Normal 148" xfId="334" xr:uid="{031AF44A-7600-4BDB-9E92-8624D07199C8}"/>
    <cellStyle name="Normal 149" xfId="335" xr:uid="{9C3EA381-7140-4966-8359-082A76CC7FC7}"/>
    <cellStyle name="Normal 15" xfId="336" xr:uid="{462E0A83-DC11-4B7B-B958-AD6DDC9E55AB}"/>
    <cellStyle name="Normal 15 2" xfId="337" xr:uid="{B53645E9-7882-45F8-8DAB-BBCC2175EF17}"/>
    <cellStyle name="Normal 15 3" xfId="338" xr:uid="{4BB09B9F-0B07-447E-B009-FF0DAA67C6FA}"/>
    <cellStyle name="Normal 15 4" xfId="339" xr:uid="{D78B74AA-3A87-40BC-AC99-E348A872740B}"/>
    <cellStyle name="Normal 150" xfId="340" xr:uid="{78B0D20F-B617-4BCA-9F98-84112EE96D34}"/>
    <cellStyle name="Normal 151" xfId="341" xr:uid="{FE76CB0E-77D2-4C38-9A4B-C084FBC5DB95}"/>
    <cellStyle name="Normal 152" xfId="342" xr:uid="{5FFC4D2E-6C6F-42B2-AA4A-8AD2B190E6B3}"/>
    <cellStyle name="Normal 153" xfId="343" xr:uid="{80A3AC2D-AD05-4352-A7AB-E51685CC37DE}"/>
    <cellStyle name="Normal 154" xfId="344" xr:uid="{3D96AA11-80CC-4BA8-B87A-CAF5F9FC5A6E}"/>
    <cellStyle name="Normal 155" xfId="345" xr:uid="{93A33FCB-B35A-49E2-AA8B-5C38C079230B}"/>
    <cellStyle name="Normal 156" xfId="346" xr:uid="{DD737048-B052-4112-8390-B8A6EC95A9BB}"/>
    <cellStyle name="Normal 157" xfId="347" xr:uid="{101248C3-36AD-47BF-81FB-C7A4027BE696}"/>
    <cellStyle name="Normal 158" xfId="348" xr:uid="{4126863E-A316-4D83-B7C2-C876FCB450FC}"/>
    <cellStyle name="Normal 159" xfId="349" xr:uid="{63290985-2336-4C8A-93B5-E8580CAB9F92}"/>
    <cellStyle name="Normal 16" xfId="350" xr:uid="{9F6D1A09-E49F-4DEB-9481-F774968327C2}"/>
    <cellStyle name="Normal 16 2" xfId="351" xr:uid="{1FC9D88A-335E-45FA-A432-E66E17BC10E3}"/>
    <cellStyle name="Normal 160" xfId="352" xr:uid="{586E0023-0AFE-4B04-90B9-1AFE7A627883}"/>
    <cellStyle name="Normal 161" xfId="353" xr:uid="{998022A0-A0A3-46B5-B945-96FA1EF53DA8}"/>
    <cellStyle name="Normal 162" xfId="354" xr:uid="{6AECC3D6-C1A1-454B-9F92-AADE0E782C07}"/>
    <cellStyle name="Normal 163" xfId="355" xr:uid="{DBD14ACA-A41C-4980-BB37-546D948BE820}"/>
    <cellStyle name="Normal 164" xfId="356" xr:uid="{FF724EF1-1476-4293-B58E-56343A60892B}"/>
    <cellStyle name="Normal 165" xfId="357" xr:uid="{B5A58B26-9648-463C-A2B1-C8B31AB4C1C7}"/>
    <cellStyle name="Normal 166" xfId="358" xr:uid="{690B7659-743B-43DA-A979-8209DEDC398D}"/>
    <cellStyle name="Normal 167" xfId="359" xr:uid="{94BA9BB3-AD10-4407-89B9-43AF1CB85D6D}"/>
    <cellStyle name="Normal 1684" xfId="360" xr:uid="{8F5CE6BA-A85B-4D0D-A19A-E885A72FC2CA}"/>
    <cellStyle name="Normal 1686" xfId="361" xr:uid="{99007C20-1ADB-4C73-BD8A-A3D3DCBCE78E}"/>
    <cellStyle name="Normal 17" xfId="362" xr:uid="{0E7B341E-5FFC-4771-BA91-585663EBEC2A}"/>
    <cellStyle name="Normal 17 2" xfId="363" xr:uid="{9D27CCF1-46B2-4AC9-B7AF-23968164DE96}"/>
    <cellStyle name="Normal 172" xfId="364" xr:uid="{00F02F8C-BAFA-417A-BEF5-2E021D2A06D1}"/>
    <cellStyle name="Normal 177" xfId="365" xr:uid="{CF56B0C1-4E44-4466-85DD-409C5B8829BF}"/>
    <cellStyle name="Normal 18" xfId="366" xr:uid="{A763BDCA-2A9C-4FA6-8862-63116F7E8AB8}"/>
    <cellStyle name="Normal 18 2" xfId="367" xr:uid="{190E282F-BE98-4B85-A3A5-14A973AC0022}"/>
    <cellStyle name="Normal 189" xfId="368" xr:uid="{15439862-656D-43BC-9E29-FAC002B7649E}"/>
    <cellStyle name="Normal 19" xfId="369" xr:uid="{15D55EAB-4BA2-425A-A544-33EC0038A7DC}"/>
    <cellStyle name="Normal 19 2" xfId="370" xr:uid="{C5A58D03-1C8A-4766-9FCF-F2311B0DCE30}"/>
    <cellStyle name="Normal 193" xfId="371" xr:uid="{3A5152D4-E98D-4715-8B34-1E19480B9B3C}"/>
    <cellStyle name="Normal 197" xfId="372" xr:uid="{F7F9E330-542A-453C-8464-37EF140222A6}"/>
    <cellStyle name="Normal 2" xfId="373" xr:uid="{90188652-2D62-46A7-BD4A-F54EF9C1266A}"/>
    <cellStyle name="Normal 2 2" xfId="374" xr:uid="{56B21816-23F6-4E18-90A5-B1DFEFD40AA6}"/>
    <cellStyle name="Normal 2 2 2" xfId="375" xr:uid="{757877C0-D00F-4F71-B9FF-163BDF708BF4}"/>
    <cellStyle name="Normal 2 2 2 2" xfId="376" xr:uid="{06A0C2C8-2F1D-4F24-BBA3-9DF261B536A7}"/>
    <cellStyle name="Normal 2 2 2 3" xfId="377" xr:uid="{0F2857B5-B201-4F6D-9128-360FC7D3228C}"/>
    <cellStyle name="Normal 2 2 2 4" xfId="378" xr:uid="{254C7B7F-6196-441D-90EB-EA71A6478A17}"/>
    <cellStyle name="Normal 2 2 3" xfId="379" xr:uid="{E756C5E1-11B3-4465-BE59-9968E6DE4480}"/>
    <cellStyle name="Normal 2 2 3 2" xfId="380" xr:uid="{7CD3E5EF-600A-4912-9826-913B23398397}"/>
    <cellStyle name="Normal 2 2 4" xfId="381" xr:uid="{4447D818-E35B-4C95-BC69-16B6EE97CEA5}"/>
    <cellStyle name="Normal 2 2 5" xfId="382" xr:uid="{A4960425-6E12-419B-BA03-0CA1D89651E6}"/>
    <cellStyle name="Normal 2 2 6" xfId="383" xr:uid="{26B9241C-E66D-424A-B25F-F392A077C38C}"/>
    <cellStyle name="Normal 2 2 7" xfId="384" xr:uid="{B45BCE8C-D6A2-421E-93B9-EE560861F23C}"/>
    <cellStyle name="Normal 2 3" xfId="385" xr:uid="{7EA381DE-31AA-409D-BB07-29456C664076}"/>
    <cellStyle name="Normal 2 3 2" xfId="386" xr:uid="{9B1F5DE1-4C89-47C4-876F-87F007D8D430}"/>
    <cellStyle name="Normal 2 3 3" xfId="387" xr:uid="{8A58C942-E01E-486D-AE16-BEC8A64A9E29}"/>
    <cellStyle name="Normal 2 3 4" xfId="388" xr:uid="{9A0FA8BA-ACF3-4C84-ACE3-0F3E30A236E9}"/>
    <cellStyle name="Normal 2 3 5" xfId="389" xr:uid="{613C691F-B7F0-484B-95A4-4A55B5821182}"/>
    <cellStyle name="Normal 2 4" xfId="390" xr:uid="{0FA7B2FD-9191-428E-8FBE-20BC94C731CC}"/>
    <cellStyle name="Normal 2 5" xfId="391" xr:uid="{E848D4AD-71EC-4FA0-A8D3-FCEB8A5AD94F}"/>
    <cellStyle name="Normal 2 6" xfId="392" xr:uid="{0BA3DCF9-7CE2-4C71-831D-1B692A94AE45}"/>
    <cellStyle name="Normal 2_SOR  BOOKING SHEET" xfId="393" xr:uid="{153F33B7-1822-4040-8586-9074651457BA}"/>
    <cellStyle name="Normal 20" xfId="394" xr:uid="{279C9002-FDB1-41C7-B5DA-8C2A97197B8C}"/>
    <cellStyle name="Normal 20 2" xfId="395" xr:uid="{6078FE54-1098-4C46-A965-0571D57FC796}"/>
    <cellStyle name="Normal 201" xfId="396" xr:uid="{F090E03F-3A07-4670-9E07-B9A55C382C07}"/>
    <cellStyle name="Normal 205" xfId="397" xr:uid="{350A6656-0C3F-4DBB-B559-279C5B445A9F}"/>
    <cellStyle name="Normal 208" xfId="398" xr:uid="{7BF019ED-56D1-4409-A68D-AFAECBD28812}"/>
    <cellStyle name="Normal 21" xfId="399" xr:uid="{9B4C1D4F-BF5D-4F2A-A537-505D4A76C6FB}"/>
    <cellStyle name="Normal 21 2" xfId="400" xr:uid="{C17B9844-351D-4F8F-80DA-13677CB172C2}"/>
    <cellStyle name="Normal 210" xfId="401" xr:uid="{98F21883-5B03-43D7-B5AF-559903CFBB73}"/>
    <cellStyle name="Normal 211" xfId="402" xr:uid="{9EF2C951-CB6E-4171-8E0C-862830E478F2}"/>
    <cellStyle name="Normal 214" xfId="403" xr:uid="{7065A20C-0C19-4E16-AB52-2D53545B0A16}"/>
    <cellStyle name="Normal 217" xfId="404" xr:uid="{20FEEE01-E4F1-40C0-B805-92E62DB1A08D}"/>
    <cellStyle name="Normal 22" xfId="405" xr:uid="{386DD205-AF20-4A6B-9589-F016F4D70D9F}"/>
    <cellStyle name="Normal 22 2" xfId="406" xr:uid="{7CF0FAF4-2A1C-4349-9FEC-80E2C39E6D19}"/>
    <cellStyle name="Normal 221" xfId="407" xr:uid="{8337EE66-1BC2-4FF5-9B70-079CA9618392}"/>
    <cellStyle name="Normal 23" xfId="408" xr:uid="{F12B4AD2-33D8-4621-ADF2-08EEC429AD8C}"/>
    <cellStyle name="Normal 23 2" xfId="409" xr:uid="{47C20C0D-7CD0-4502-9B4F-0111736733EE}"/>
    <cellStyle name="Normal 235" xfId="410" xr:uid="{444155A6-A841-44AE-94E7-904C2FD9F85C}"/>
    <cellStyle name="Normal 238" xfId="411" xr:uid="{8F589624-19F9-4283-AF87-F43E7982C8A7}"/>
    <cellStyle name="Normal 24" xfId="412" xr:uid="{2222376A-27DD-4812-8ABC-FD96981EAEE8}"/>
    <cellStyle name="Normal 24 2" xfId="413" xr:uid="{C3DC61C5-8A5E-4D30-9F0C-425F1FE1EC13}"/>
    <cellStyle name="Normal 241" xfId="414" xr:uid="{1DBB0CE2-8B3D-44C9-AD33-9D941F562CB6}"/>
    <cellStyle name="Normal 248" xfId="415" xr:uid="{1D8522E6-365E-453F-B3B3-D81E662D969A}"/>
    <cellStyle name="Normal 25" xfId="416" xr:uid="{6FBD6F25-7F22-4DFF-A160-56E906BDB81F}"/>
    <cellStyle name="Normal 25 2" xfId="417" xr:uid="{128D13BF-0176-44C7-876D-E5EEA49FA03B}"/>
    <cellStyle name="Normal 252" xfId="418" xr:uid="{81CC524F-0B61-45B0-AE39-09F68EF22755}"/>
    <cellStyle name="Normal 26" xfId="419" xr:uid="{AE5E67A8-EBEB-4EAA-80D9-BDEB1B08E9D2}"/>
    <cellStyle name="Normal 26 2" xfId="420" xr:uid="{DBF13D37-BDC9-4A8A-9873-1D9607BC788F}"/>
    <cellStyle name="Normal 27" xfId="421" xr:uid="{189BBB73-DC23-4851-8825-6221D16F3E28}"/>
    <cellStyle name="Normal 27 2" xfId="422" xr:uid="{01DE5483-A2A8-49A6-B771-D777BE062EC1}"/>
    <cellStyle name="Normal 28" xfId="423" xr:uid="{1F27D96E-5E9D-41E7-BA3A-2FF686D7117D}"/>
    <cellStyle name="Normal 28 2" xfId="424" xr:uid="{9A12EC51-F0BE-4940-A9EB-D675016E5A5F}"/>
    <cellStyle name="Normal 29" xfId="425" xr:uid="{C83FA09D-DD3B-45BC-BCB2-8D7064CF2AF3}"/>
    <cellStyle name="Normal 29 2" xfId="426" xr:uid="{A9475419-F69A-4458-ACCF-055909BF9A10}"/>
    <cellStyle name="Normal 3" xfId="427" xr:uid="{611FD4C1-0831-4A1C-A22C-0108A30869FC}"/>
    <cellStyle name="Normal 3 2" xfId="428" xr:uid="{F94C2347-F1D0-41A9-B8C6-77A937711469}"/>
    <cellStyle name="Normal 3 2 2" xfId="429" xr:uid="{87584054-2D8F-4A74-8DCC-0C91D5C9B8BA}"/>
    <cellStyle name="Normal 3 2 2 2" xfId="430" xr:uid="{437C3ED8-1B30-46C8-90D9-E0FF2CC2581F}"/>
    <cellStyle name="Normal 3 2 3" xfId="431" xr:uid="{3BF824AA-52F0-4BC6-BE3B-C1C156D805D6}"/>
    <cellStyle name="Normal 3 2 3 2" xfId="432" xr:uid="{9DF67030-48F0-4316-96D3-DCB66084E687}"/>
    <cellStyle name="Normal 3 2 4" xfId="433" xr:uid="{25267C5F-56F8-442D-864C-C39CBE5BD5A3}"/>
    <cellStyle name="Normal 3 2 5" xfId="434" xr:uid="{85F6067F-AC6B-4C75-AFF4-C7294D8BBE12}"/>
    <cellStyle name="Normal 3 3" xfId="435" xr:uid="{9E407D5F-047D-4F1C-9A8C-D9179A0E646C}"/>
    <cellStyle name="Normal 3 4" xfId="436" xr:uid="{9B5E1BF5-AE85-44A0-B84F-36660346CFC7}"/>
    <cellStyle name="Normal 30" xfId="437" xr:uid="{7050463D-ABEB-4BCD-B374-C7184AA170B8}"/>
    <cellStyle name="Normal 30 2" xfId="438" xr:uid="{80E31A69-6E26-4B84-9E65-C629C2B9E622}"/>
    <cellStyle name="Normal 31" xfId="439" xr:uid="{CE50B064-91C5-4AB0-8C50-C6D006503853}"/>
    <cellStyle name="Normal 31 2" xfId="440" xr:uid="{5B3EC428-4C77-40E5-8750-F0D8A125C26A}"/>
    <cellStyle name="Normal 32" xfId="441" xr:uid="{F67BE012-7D51-4503-88B5-F4657C1780C0}"/>
    <cellStyle name="Normal 32 2" xfId="442" xr:uid="{E2ABFFC2-1247-44A2-8566-4901DD995FB9}"/>
    <cellStyle name="Normal 33" xfId="443" xr:uid="{D84432DE-A1D1-4CF8-80BE-9D14B86DA171}"/>
    <cellStyle name="Normal 33 2" xfId="444" xr:uid="{ECA8294A-4B1C-4227-814B-866FF9A1F68C}"/>
    <cellStyle name="Normal 34" xfId="445" xr:uid="{8B209F30-12CD-418A-A165-BEFC4B022BC3}"/>
    <cellStyle name="Normal 35" xfId="446" xr:uid="{9B7B577D-A42B-44D9-8492-A63D4BC91087}"/>
    <cellStyle name="Normal 36" xfId="447" xr:uid="{CAEBF3B6-CB40-40AD-8D5D-880EC09319EF}"/>
    <cellStyle name="Normal 36 2" xfId="448" xr:uid="{A88D1E0E-B7F8-4575-93AA-460BA812A075}"/>
    <cellStyle name="Normal 37" xfId="449" xr:uid="{77C63950-FAEF-4526-8767-D2F45B35912D}"/>
    <cellStyle name="Normal 38" xfId="450" xr:uid="{8FAE99BC-A84C-40E0-A958-6131B0062F43}"/>
    <cellStyle name="Normal 39" xfId="451" xr:uid="{BB8907AA-0D08-4291-888D-817FC838B6E1}"/>
    <cellStyle name="Normal 39 2" xfId="452" xr:uid="{312440BB-EE9C-466B-AA16-9BA1AA72A181}"/>
    <cellStyle name="Normal 39 2 2" xfId="453" xr:uid="{7DBFB323-F397-48C1-A675-2A23228528D6}"/>
    <cellStyle name="Normal 39 3" xfId="454" xr:uid="{AA344C09-C957-4476-A9B5-369F01FA72E5}"/>
    <cellStyle name="Normal 4" xfId="455" xr:uid="{79AEC583-3516-4BFE-B45D-0F9B2E0949C0}"/>
    <cellStyle name="Normal 4 2" xfId="456" xr:uid="{4143CAE8-0BB0-4B4B-82CA-F7A6E8E23C0B}"/>
    <cellStyle name="Normal 4 2 2" xfId="457" xr:uid="{5C9C5494-F407-4895-B335-0FC214EBF0F4}"/>
    <cellStyle name="Normal 4 3" xfId="458" xr:uid="{0090763B-46D6-4D95-A9E4-3AF0ADADF18E}"/>
    <cellStyle name="Normal 4 4" xfId="459" xr:uid="{82B14A04-8261-4CA5-9FA9-448F049A19CD}"/>
    <cellStyle name="Normal 4 5" xfId="460" xr:uid="{25073398-D95E-4467-8E3C-31D1EFF23DFB}"/>
    <cellStyle name="Normal 40" xfId="461" xr:uid="{F0BB1785-A596-46C7-A657-BD8CC2D06CB6}"/>
    <cellStyle name="Normal 40 2" xfId="462" xr:uid="{C78CF5E3-7AD9-406C-ABD6-46692609EDD6}"/>
    <cellStyle name="Normal 41" xfId="463" xr:uid="{3906B0EE-AC1A-4E27-9D45-A7ADA689C335}"/>
    <cellStyle name="Normal 41 2" xfId="464" xr:uid="{28143F7D-28CE-4B77-8B0F-2C84CAF34889}"/>
    <cellStyle name="Normal 42" xfId="465" xr:uid="{B5F0B601-A235-4B19-8171-5892910CE9BB}"/>
    <cellStyle name="Normal 42 2" xfId="466" xr:uid="{CE68EDD5-1E85-4FDC-9303-26CE182C5AC0}"/>
    <cellStyle name="Normal 43" xfId="467" xr:uid="{30AA3077-F54C-47BE-85E5-532B38F31A4E}"/>
    <cellStyle name="Normal 43 2" xfId="468" xr:uid="{CCA2BCD8-A75E-4950-AD7E-6CFDB4A8E2B2}"/>
    <cellStyle name="Normal 44" xfId="469" xr:uid="{53DB97C9-46AA-46BF-A12B-2DD77A677721}"/>
    <cellStyle name="Normal 44 2" xfId="470" xr:uid="{4F411D65-7950-4C59-9984-D5D7F1CF95B6}"/>
    <cellStyle name="Normal 45" xfId="471" xr:uid="{3842C041-8AD6-4E7B-B5A3-E2388FD22DED}"/>
    <cellStyle name="Normal 46" xfId="472" xr:uid="{EA5665D5-4388-4086-BF1F-1239AD464C89}"/>
    <cellStyle name="Normal 46 2" xfId="473" xr:uid="{DD69F35F-1B43-4838-8A77-814EC4BA3499}"/>
    <cellStyle name="Normal 47" xfId="474" xr:uid="{2B774B54-F51C-46B6-9588-365472BE544C}"/>
    <cellStyle name="Normal 47 2" xfId="475" xr:uid="{6DDF46EB-DAD8-48CC-BC3C-FB63F55259D5}"/>
    <cellStyle name="Normal 48" xfId="476" xr:uid="{9F7C8D33-BA16-4225-947C-778BD423C224}"/>
    <cellStyle name="Normal 48 2" xfId="477" xr:uid="{4EBACD5C-6EE5-47FE-B49C-4FF25D9E1D80}"/>
    <cellStyle name="Normal 48 3" xfId="478" xr:uid="{A9047753-40BA-4509-95EC-1F4997780BAD}"/>
    <cellStyle name="Normal 49" xfId="479" xr:uid="{2D98A43E-FB56-4441-A982-DAA7DB843266}"/>
    <cellStyle name="Normal 49 2" xfId="480" xr:uid="{91EFAAD4-5173-4055-B3EF-78AB768B6BF3}"/>
    <cellStyle name="Normal 5" xfId="481" xr:uid="{E0A464E7-1C4F-4BD6-8F14-042A610E51F8}"/>
    <cellStyle name="Normal 5 2" xfId="482" xr:uid="{47A78120-40F3-45CD-897A-86004AEAE22A}"/>
    <cellStyle name="Normal 5 3" xfId="483" xr:uid="{01384F05-EED4-4503-B421-2132C3247487}"/>
    <cellStyle name="Normal 5 4" xfId="484" xr:uid="{3CEB2473-4346-406A-BB3C-708088E69D2A}"/>
    <cellStyle name="Normal 50" xfId="485" xr:uid="{B5C4BD1F-57AD-47F9-9437-01B9A28B8C5E}"/>
    <cellStyle name="Normal 50 2" xfId="486" xr:uid="{2CAAB783-401A-40EA-B2D3-1BB952A91409}"/>
    <cellStyle name="Normal 51" xfId="487" xr:uid="{49414D81-34E8-4EDD-A0F7-7BA995FCA82D}"/>
    <cellStyle name="Normal 51 2" xfId="488" xr:uid="{05A1DD1B-53E3-4322-A1A5-2EF5DA4FCCE2}"/>
    <cellStyle name="Normal 52" xfId="489" xr:uid="{8EAD863C-75DB-4D13-AAEC-3A04353CC196}"/>
    <cellStyle name="Normal 52 2" xfId="490" xr:uid="{1F0743BA-6B88-4A5E-9D58-C48F99A7BEB4}"/>
    <cellStyle name="Normal 53" xfId="491" xr:uid="{889771BA-597D-4213-AC8F-D63BAB397BE8}"/>
    <cellStyle name="Normal 53 2" xfId="492" xr:uid="{2FE48720-DBDA-4A47-8970-8C198FCF5B6F}"/>
    <cellStyle name="Normal 54" xfId="493" xr:uid="{F7D6E9BE-6D22-421C-BC62-7A47B62FD068}"/>
    <cellStyle name="Normal 54 2" xfId="494" xr:uid="{99C34DD0-0B57-4E83-962B-A28BA3677CEA}"/>
    <cellStyle name="Normal 55" xfId="495" xr:uid="{C8B039FE-AEDF-48DE-876B-29F9CBC24BF8}"/>
    <cellStyle name="Normal 55 2" xfId="496" xr:uid="{B45D6F86-B851-4C9B-A206-6B2DD0801C34}"/>
    <cellStyle name="Normal 56" xfId="497" xr:uid="{180A38B1-1F62-4CDD-9632-A558E4497002}"/>
    <cellStyle name="Normal 56 2" xfId="498" xr:uid="{71ABE897-979F-4C45-8243-B1203ACA6C4A}"/>
    <cellStyle name="Normal 57" xfId="499" xr:uid="{491E8F9F-8ED2-4CA7-A567-3F4ED3061509}"/>
    <cellStyle name="Normal 57 2" xfId="500" xr:uid="{B9594776-E8C0-4795-BEEF-6491165FF8B7}"/>
    <cellStyle name="Normal 58" xfId="501" xr:uid="{8A194A24-4B27-4476-B44B-A74B723ED339}"/>
    <cellStyle name="Normal 58 2" xfId="502" xr:uid="{34BCED2A-628A-4882-829C-7406BE0CC399}"/>
    <cellStyle name="Normal 589" xfId="503" xr:uid="{69055907-4BBA-4522-86F3-DD2442FD91AA}"/>
    <cellStyle name="Normal 59" xfId="504" xr:uid="{8973120B-828A-46CE-B4D8-D0933B6B671A}"/>
    <cellStyle name="Normal 59 2" xfId="505" xr:uid="{7B4E4560-2FCD-4115-A635-8CC87E540C2C}"/>
    <cellStyle name="Normal 590" xfId="506" xr:uid="{22C85582-211E-430F-9709-885DD940334A}"/>
    <cellStyle name="Normal 591" xfId="507" xr:uid="{FAE58303-D0CE-446E-83A1-C0E13C32B265}"/>
    <cellStyle name="Normal 6" xfId="508" xr:uid="{3B8F6595-F465-41AE-A412-C184917291B2}"/>
    <cellStyle name="Normal 6 2" xfId="509" xr:uid="{A75B6D74-FAB9-47ED-B735-F229C23B35DF}"/>
    <cellStyle name="Normal 6 2 2" xfId="510" xr:uid="{5C72BFF3-F433-4E70-B85B-A712F0E3A604}"/>
    <cellStyle name="Normal 60" xfId="511" xr:uid="{08A784FF-CBAE-45D5-A707-DCDC0C8C6753}"/>
    <cellStyle name="Normal 60 2" xfId="512" xr:uid="{24728691-F8EE-400A-9146-B36538BC8934}"/>
    <cellStyle name="Normal 605" xfId="513" xr:uid="{303D238E-1029-4BF7-81A4-8B9D4BDE4B4D}"/>
    <cellStyle name="Normal 609" xfId="514" xr:uid="{5DC3D271-EC76-425B-8DDB-5CB1AA4FBD73}"/>
    <cellStyle name="Normal 61" xfId="515" xr:uid="{DAE2E329-6F93-4176-A604-8668D0B7E324}"/>
    <cellStyle name="Normal 61 2" xfId="516" xr:uid="{4F3AC895-253C-408A-8913-F878E442BC42}"/>
    <cellStyle name="Normal 62" xfId="517" xr:uid="{B461F656-20C1-4DCC-A3F0-E1CC44A3B33E}"/>
    <cellStyle name="Normal 62 2" xfId="518" xr:uid="{33FBAD00-E024-44F3-9595-90BE9792E3FA}"/>
    <cellStyle name="Normal 63" xfId="519" xr:uid="{621D283F-7CAD-472D-8A5C-9335358F2E49}"/>
    <cellStyle name="Normal 63 2" xfId="520" xr:uid="{397429ED-EDFF-42E6-9F49-CE4693357CB4}"/>
    <cellStyle name="Normal 64" xfId="521" xr:uid="{9205E29F-37B0-4C55-8431-5A61916E61C9}"/>
    <cellStyle name="Normal 64 2" xfId="522" xr:uid="{5911A10B-EBBC-415D-9268-64715DD0A10B}"/>
    <cellStyle name="Normal 65" xfId="523" xr:uid="{42DE60D0-7CD1-4584-BFC2-CF9AA9824C51}"/>
    <cellStyle name="Normal 65 2" xfId="524" xr:uid="{9121F771-05E8-444A-BB0B-6B8698B9AEA0}"/>
    <cellStyle name="Normal 653" xfId="525" xr:uid="{2B60CA61-5579-479B-98A2-D98043F5B573}"/>
    <cellStyle name="Normal 655" xfId="526" xr:uid="{2A933A1C-4AE5-410F-B938-430C7C35DFA8}"/>
    <cellStyle name="Normal 656" xfId="527" xr:uid="{D5F666AA-FEA0-4047-A974-80911FE67D70}"/>
    <cellStyle name="Normal 66" xfId="528" xr:uid="{9FC4191F-BD3F-4C2E-B006-C8B244A11695}"/>
    <cellStyle name="Normal 66 2" xfId="529" xr:uid="{527548B3-7067-459B-B705-219185B100B0}"/>
    <cellStyle name="Normal 67" xfId="530" xr:uid="{A09F9B38-E987-4D2F-A1E1-52A5911CA77F}"/>
    <cellStyle name="Normal 67 2" xfId="531" xr:uid="{D9059955-132A-4C2F-8E07-2F53EF8D6CC6}"/>
    <cellStyle name="Normal 676" xfId="532" xr:uid="{57F0432A-2FFB-4FAE-BFAF-1ABF3BA3F01A}"/>
    <cellStyle name="Normal 68" xfId="533" xr:uid="{E461F999-8021-410C-B1F4-2F49AC86C269}"/>
    <cellStyle name="Normal 68 2" xfId="534" xr:uid="{3A1EED11-F31E-4214-9B93-2FAE6A68C9B0}"/>
    <cellStyle name="Normal 682" xfId="535" xr:uid="{25F91A8E-AB84-4CAC-B03D-35879EA2CC5B}"/>
    <cellStyle name="Normal 69" xfId="536" xr:uid="{5A4110F9-3878-490C-AEDD-26AEC3B59EEE}"/>
    <cellStyle name="Normal 69 2" xfId="537" xr:uid="{2C380EE2-6754-4B59-8EB6-DC3FA700501B}"/>
    <cellStyle name="Normal 7" xfId="538" xr:uid="{AF82F10E-B088-41B1-82C7-A68082854547}"/>
    <cellStyle name="Normal 7 2" xfId="539" xr:uid="{FB39C1F6-1843-4DBA-8406-8E482BC2C024}"/>
    <cellStyle name="Normal 7 3" xfId="540" xr:uid="{C69876A9-A4AF-4F31-8225-863C92738B44}"/>
    <cellStyle name="Normal 7 4" xfId="541" xr:uid="{7BB68144-775B-4C47-BB8D-BDB52F2E016E}"/>
    <cellStyle name="Normal 70" xfId="542" xr:uid="{BA8D6DA5-7487-41F5-AC75-7EEBB467FA8F}"/>
    <cellStyle name="Normal 70 2" xfId="543" xr:uid="{16BA02C0-1D95-40B2-BBA9-8E46AB99DBC4}"/>
    <cellStyle name="Normal 71" xfId="544" xr:uid="{52C096E9-F90C-4E95-A17F-D9E5925CAE38}"/>
    <cellStyle name="Normal 71 2" xfId="545" xr:uid="{5243C6B8-0AE8-4C48-83F1-8DF0984283B2}"/>
    <cellStyle name="Normal 72" xfId="546" xr:uid="{40BE79AD-5770-42F8-B6E1-2A075093A2CE}"/>
    <cellStyle name="Normal 72 2" xfId="547" xr:uid="{898DB2D4-DA9D-4F7C-B8B8-8ECBF64B5573}"/>
    <cellStyle name="Normal 73" xfId="548" xr:uid="{69809304-BA7B-48DF-A803-786CF20D069E}"/>
    <cellStyle name="Normal 73 2" xfId="549" xr:uid="{90DC2444-B0BF-4754-B5A3-2C84CAA311E1}"/>
    <cellStyle name="Normal 738" xfId="550" xr:uid="{F6989FFC-8940-4498-B781-8FC446643AFD}"/>
    <cellStyle name="Normal 74" xfId="551" xr:uid="{8C53F9C2-64FC-481D-8354-D31963CFE363}"/>
    <cellStyle name="Normal 74 2" xfId="552" xr:uid="{42A38893-A763-488A-9D2C-997DBA4BE180}"/>
    <cellStyle name="Normal 74 3" xfId="553" xr:uid="{1AC0594C-F010-4D44-AA62-ECE2957B96D2}"/>
    <cellStyle name="Normal 740" xfId="554" xr:uid="{398912E5-9FF3-4C83-BA32-61BC8C9C451D}"/>
    <cellStyle name="Normal 75" xfId="555" xr:uid="{6D866BAE-A88F-47EE-821F-FE3C80A218BC}"/>
    <cellStyle name="Normal 75 2" xfId="556" xr:uid="{73350458-466B-47AD-A57E-30270F590A3D}"/>
    <cellStyle name="Normal 76" xfId="557" xr:uid="{67FEFB76-50B4-4CC1-BA2B-0C1C01249EA8}"/>
    <cellStyle name="Normal 76 2" xfId="558" xr:uid="{6ACEBA87-A376-4330-84A3-E60CD0411529}"/>
    <cellStyle name="Normal 763" xfId="559" xr:uid="{4CA41ED6-D721-4782-93BF-63A62D707321}"/>
    <cellStyle name="Normal 764" xfId="560" xr:uid="{030BB26B-58D0-407F-90D9-216AF66A0ABE}"/>
    <cellStyle name="Normal 766" xfId="561" xr:uid="{9E6B0D16-7232-4E73-A5CB-161ACFE74F2F}"/>
    <cellStyle name="Normal 77" xfId="562" xr:uid="{782AE341-56C5-4370-8E48-0E59775F219C}"/>
    <cellStyle name="Normal 77 2" xfId="563" xr:uid="{AAE50011-7DC2-4D13-9A5D-0ED38F447B46}"/>
    <cellStyle name="Normal 770" xfId="564" xr:uid="{918DE9E1-01EF-46FE-BD87-CF1237EFF1E3}"/>
    <cellStyle name="Normal 771" xfId="565" xr:uid="{94B76CAC-ACBD-4C27-AE26-8B6A06AC246D}"/>
    <cellStyle name="Normal 78" xfId="566" xr:uid="{77149921-49EB-490C-B02A-C56214E973EC}"/>
    <cellStyle name="Normal 78 2" xfId="567" xr:uid="{0B577218-00D2-4CC9-A8D9-BA2507F290AE}"/>
    <cellStyle name="Normal 780" xfId="568" xr:uid="{A24B9C71-DC91-4C2E-90E0-58F4E50D55BD}"/>
    <cellStyle name="Normal 785" xfId="569" xr:uid="{6106F517-2C42-4059-A015-68FEEBBA20BD}"/>
    <cellStyle name="Normal 79" xfId="570" xr:uid="{A81B97EE-89DA-4A0B-A121-9818C1399FEE}"/>
    <cellStyle name="Normal 79 2" xfId="571" xr:uid="{620C4774-7785-42CC-BF87-4F0AB14B0E52}"/>
    <cellStyle name="Normal 8" xfId="572" xr:uid="{8FAD2214-BB36-4B25-9394-624F8A8B70EA}"/>
    <cellStyle name="Normal 8 2" xfId="573" xr:uid="{58A36DF7-9C8F-4462-9D58-10F711E60EE4}"/>
    <cellStyle name="Normal 8 3" xfId="574" xr:uid="{AA0E827F-9AA2-4976-AC60-94AEAB752C6D}"/>
    <cellStyle name="Normal 8 4" xfId="575" xr:uid="{DEEB5602-495B-4BFE-BFE7-65E27073A908}"/>
    <cellStyle name="Normal 80" xfId="576" xr:uid="{C8EF2232-2450-4597-879E-9A673500A736}"/>
    <cellStyle name="Normal 80 2" xfId="577" xr:uid="{D5A659C7-0977-4BBC-A74C-0EA56AC7E430}"/>
    <cellStyle name="Normal 81" xfId="578" xr:uid="{6139293E-0EE1-44FB-9795-98A0FDA1A86F}"/>
    <cellStyle name="Normal 81 2" xfId="579" xr:uid="{40FA70B0-BDDF-422F-9502-F21E963DDB44}"/>
    <cellStyle name="Normal 82" xfId="580" xr:uid="{FB394613-46F9-4C7F-85B1-89443FD74547}"/>
    <cellStyle name="Normal 82 2" xfId="581" xr:uid="{8ACF8B6E-2405-4DFA-AC7B-E11C0719328F}"/>
    <cellStyle name="Normal 83" xfId="582" xr:uid="{56810266-E096-4050-810D-15BCAF6DA408}"/>
    <cellStyle name="Normal 83 2" xfId="583" xr:uid="{8318E721-0958-4B1C-A19E-D78081E13870}"/>
    <cellStyle name="Normal 84" xfId="584" xr:uid="{6C4F966B-27F9-4B67-B8FD-D00B01E43B57}"/>
    <cellStyle name="Normal 84 2" xfId="585" xr:uid="{B9142D79-EE74-4862-91FB-297689750D87}"/>
    <cellStyle name="Normal 844" xfId="586" xr:uid="{C6102039-DA3B-4CAC-9B84-7C537586BF5A}"/>
    <cellStyle name="Normal 85" xfId="587" xr:uid="{15E99610-938C-4618-9FBE-F3E3BB082012}"/>
    <cellStyle name="Normal 85 2" xfId="588" xr:uid="{809D54AC-9636-434D-B3B0-2DEA2A076D1D}"/>
    <cellStyle name="Normal 86" xfId="589" xr:uid="{49FB2028-0AF5-4DBE-921C-4A3305A7A85C}"/>
    <cellStyle name="Normal 86 2" xfId="590" xr:uid="{0AF22C05-1F33-452F-8BFD-B44A3F43ABE0}"/>
    <cellStyle name="Normal 87" xfId="591" xr:uid="{0F3ED51C-D01F-4162-913C-4E6C09852C30}"/>
    <cellStyle name="Normal 87 2" xfId="592" xr:uid="{54F06500-856E-4902-AE3D-2AA13D9B95B1}"/>
    <cellStyle name="Normal 88" xfId="593" xr:uid="{EA67936B-C98E-452B-A6B9-28C3C544D953}"/>
    <cellStyle name="Normal 88 2" xfId="594" xr:uid="{3A2941DB-285A-4936-8C7F-86692ECF23AA}"/>
    <cellStyle name="Normal 89" xfId="595" xr:uid="{EEE0C90E-0DDE-4A84-A6E8-80A515091C21}"/>
    <cellStyle name="Normal 89 2" xfId="596" xr:uid="{85F8AD6D-62C2-4023-A5BE-F5D5261F3610}"/>
    <cellStyle name="Normal 9" xfId="597" xr:uid="{41B9D225-83F2-4DB0-BEB5-03881BB9CFA1}"/>
    <cellStyle name="Normal 9 2" xfId="598" xr:uid="{A148D140-27A1-4800-83B6-5559CF6AA3A8}"/>
    <cellStyle name="Normal 9 3" xfId="599" xr:uid="{95AFC733-AC6B-4693-A7AF-487AE6DDD0DB}"/>
    <cellStyle name="Normal 9 4" xfId="600" xr:uid="{CC515816-A247-4C87-931F-F09E67A5DD1F}"/>
    <cellStyle name="Normal 90" xfId="601" xr:uid="{636D561C-317B-4FF3-9033-56812D85A408}"/>
    <cellStyle name="Normal 90 2" xfId="602" xr:uid="{CE34C22D-2FC2-474D-945B-D813DD187CCA}"/>
    <cellStyle name="Normal 91" xfId="603" xr:uid="{5E7036F5-A71A-4165-8E1D-F97FDD5A76F8}"/>
    <cellStyle name="Normal 91 2" xfId="604" xr:uid="{14BE24F6-E3F8-4122-A570-2623BAE9FD71}"/>
    <cellStyle name="Normal 92" xfId="605" xr:uid="{8AD91974-7553-46EA-99A2-520B61601937}"/>
    <cellStyle name="Normal 92 2" xfId="606" xr:uid="{B1C42F6C-A4D2-4FDD-921E-B206423AE282}"/>
    <cellStyle name="Normal 93" xfId="607" xr:uid="{2B8B8296-095E-4EA2-A43C-A9D56514DBA5}"/>
    <cellStyle name="Normal 93 2" xfId="608" xr:uid="{F746E01C-5673-4674-8363-CDC008520DD5}"/>
    <cellStyle name="Normal 94" xfId="609" xr:uid="{170C410B-D9DD-4031-B756-3B85B0A94D33}"/>
    <cellStyle name="Normal 94 2" xfId="610" xr:uid="{24D52DC7-2DDB-4178-8E86-DCE086D227C8}"/>
    <cellStyle name="Normal 95" xfId="611" xr:uid="{9FF835D4-FEBF-45BF-A4B9-45C7A37AC914}"/>
    <cellStyle name="Normal 95 2" xfId="612" xr:uid="{47363D75-B3FA-4B8E-88B9-B304CFBF9C57}"/>
    <cellStyle name="Normal 96" xfId="613" xr:uid="{A113626F-AA25-4A23-A6CB-A5EA1A5119F9}"/>
    <cellStyle name="Normal 96 2" xfId="614" xr:uid="{481CE9E7-5DA1-41C4-9EB0-1F373716B5A2}"/>
    <cellStyle name="Normal 97" xfId="615" xr:uid="{DF48E130-AC52-444D-9AE6-E67DD756964D}"/>
    <cellStyle name="Normal 97 2" xfId="616" xr:uid="{7D5EDE74-558B-485C-9BBC-685AD665FD8C}"/>
    <cellStyle name="Normal 98" xfId="617" xr:uid="{93EA42EC-C818-460D-A23A-0A437BA3B317}"/>
    <cellStyle name="Normal 98 2" xfId="618" xr:uid="{BE28E78F-D483-447B-A165-2B3666EF3018}"/>
    <cellStyle name="Normal 99" xfId="619" xr:uid="{287A3FCC-0104-4CC1-9BC9-3EA8A314CE54}"/>
    <cellStyle name="Normal 99 2" xfId="620" xr:uid="{41BD2EFE-4266-44A4-971C-70E4C3DBDCFA}"/>
    <cellStyle name="Note 2" xfId="621" xr:uid="{E25C8CB9-B85D-46A2-B1F7-AFAD9D345632}"/>
    <cellStyle name="Note 2 2" xfId="622" xr:uid="{ADB375EE-85F0-499E-AADD-DFC77B59A89A}"/>
    <cellStyle name="Note 2 3" xfId="623" xr:uid="{0EB54A56-803A-43ED-9FB0-0A3F88802995}"/>
    <cellStyle name="Note 3" xfId="624" xr:uid="{B9C916F2-ADAD-4932-ADC8-4A1393FC10F8}"/>
    <cellStyle name="Notitie" xfId="625" xr:uid="{1D97F87D-2272-4B15-9EEC-753D21D0725C}"/>
    <cellStyle name="Œ…‹æØ‚è [0.00]_Region Orders (2)" xfId="626" xr:uid="{CA8BACBD-5139-43FD-86D4-801959D2BB90}"/>
    <cellStyle name="Œ…‹æØ‚è_Region Orders (2)" xfId="627" xr:uid="{6B2D732E-AECD-4A0B-8C56-19DEFE97DA3B}"/>
    <cellStyle name="Ongeldig" xfId="628" xr:uid="{65264DA7-E458-46E3-ADA1-BCB0122D679C}"/>
    <cellStyle name="Output 2" xfId="629" xr:uid="{AD17820F-805C-413E-B345-8C522AA4DB87}"/>
    <cellStyle name="per.style" xfId="630" xr:uid="{C13CD1BF-F95B-492C-BB08-B345EAD50A8B}"/>
    <cellStyle name="Percent [0]" xfId="631" xr:uid="{421ACF6C-905D-4B86-855C-F508C3347375}"/>
    <cellStyle name="Percent [00]" xfId="632" xr:uid="{EAD9F55D-A10F-4EBD-9666-690AD9BC4468}"/>
    <cellStyle name="Percent [2]" xfId="633" xr:uid="{44990E05-BF4F-47BB-A8B5-C8226B746DBA}"/>
    <cellStyle name="Percent [2] 10" xfId="634" xr:uid="{37F1CE0F-E850-4594-B144-3423CD9004D6}"/>
    <cellStyle name="Percent [2] 10 2" xfId="635" xr:uid="{9043A307-E8CB-40B9-8158-C42336223385}"/>
    <cellStyle name="Percent [2] 10 2 2" xfId="636" xr:uid="{A649548F-49F4-48BC-AC7F-DE7C02B37BBD}"/>
    <cellStyle name="Percent [2] 11" xfId="637" xr:uid="{679E23ED-6F32-4EF6-9AC3-78035CE67E2B}"/>
    <cellStyle name="Percent [2] 11 2" xfId="638" xr:uid="{ADCCF71E-6F48-4DF0-B817-8930EF468582}"/>
    <cellStyle name="Percent [2] 2" xfId="639" xr:uid="{638465EB-4E11-4DF1-8BBF-15FF5F7B4EEE}"/>
    <cellStyle name="Percent [2] 2 2" xfId="640" xr:uid="{CFCFDBF8-DB75-44EA-8EDF-42E231259690}"/>
    <cellStyle name="Percent [2] 3" xfId="641" xr:uid="{A7395EE7-BDCB-47E0-8911-DACF21A49069}"/>
    <cellStyle name="Percent [2] 3 2" xfId="642" xr:uid="{16125A0A-DF8C-4DF6-B29F-335884632764}"/>
    <cellStyle name="Percent [2] 3 2 2" xfId="643" xr:uid="{086056BF-AAEC-4FD0-BC0A-0F3D5A245278}"/>
    <cellStyle name="Percent [2] 3 3" xfId="644" xr:uid="{05888060-4F06-43E9-AE55-AC9BEFD3CB04}"/>
    <cellStyle name="Percent [2] 4" xfId="645" xr:uid="{02640B37-4C9D-4351-9BA2-52E721A336CE}"/>
    <cellStyle name="Percent [2] 4 2" xfId="646" xr:uid="{2E327F8E-7C6F-4B81-9FFA-368837DC9753}"/>
    <cellStyle name="Percent [2] 4 2 2" xfId="647" xr:uid="{12E438AA-5128-4BA7-A745-FA0C32749990}"/>
    <cellStyle name="Percent [2] 4 3" xfId="648" xr:uid="{9F87BC08-901A-4D32-8A10-A5C50F8C8938}"/>
    <cellStyle name="Percent [2] 5" xfId="649" xr:uid="{F39CE585-B357-41BD-A661-CA29E8897842}"/>
    <cellStyle name="Percent [2] 5 2" xfId="650" xr:uid="{2E163806-786D-4FFA-9B09-10565BBFBC2E}"/>
    <cellStyle name="Percent [2] 5 2 2" xfId="651" xr:uid="{34F2647F-87C7-4ABB-A03C-4686D6D6ED2D}"/>
    <cellStyle name="Percent [2] 5 3" xfId="652" xr:uid="{85B2F5C7-D587-4812-BF9F-9B9701E68414}"/>
    <cellStyle name="Percent [2] 5 3 2" xfId="653" xr:uid="{1A39C24D-7D60-441F-A98D-52F5B228D37B}"/>
    <cellStyle name="Percent [2] 5 4" xfId="654" xr:uid="{3C7A8480-4CD1-4DEB-BB5F-474452872D60}"/>
    <cellStyle name="Percent [2] 6" xfId="655" xr:uid="{E344262F-31E8-4323-BB12-C3A02BE99ACD}"/>
    <cellStyle name="Percent [2] 6 2" xfId="656" xr:uid="{4DEA84A0-CEEA-4EF6-B9C9-707B46B0A5AD}"/>
    <cellStyle name="Percent [2] 6 2 2" xfId="657" xr:uid="{7689F229-F1C9-4A6D-AC35-9BBBD1EEBA52}"/>
    <cellStyle name="Percent [2] 6 3" xfId="658" xr:uid="{487560C1-0893-4218-A75A-E442A9147ABC}"/>
    <cellStyle name="Percent [2] 7" xfId="659" xr:uid="{458F3D0D-0CCF-498F-AF9E-D7FB1C17DC23}"/>
    <cellStyle name="Percent [2] 7 2" xfId="660" xr:uid="{51A33688-C7F5-4462-B770-F0E069FBE74F}"/>
    <cellStyle name="Percent [2] 7 2 2" xfId="661" xr:uid="{D7F1BB4A-E910-4D9B-972E-16B3FAD9751A}"/>
    <cellStyle name="Percent [2] 7 3" xfId="662" xr:uid="{F24830A0-63E5-4256-9D66-32057BDE1866}"/>
    <cellStyle name="Percent [2] 8" xfId="663" xr:uid="{812D9CB2-0666-4E93-B45B-D2C59A5245E6}"/>
    <cellStyle name="Percent [2] 8 2" xfId="664" xr:uid="{EBFFE8CC-74C7-4E76-8903-7737E9004D23}"/>
    <cellStyle name="Percent [2] 8 2 2" xfId="665" xr:uid="{56ACA6B3-DEE1-4517-ADB6-A6991A344605}"/>
    <cellStyle name="Percent [2] 8 3" xfId="666" xr:uid="{B5078143-E72C-4BB0-9598-DA92B0B75FCC}"/>
    <cellStyle name="Percent [2] 8 3 2" xfId="667" xr:uid="{8F9391C4-3F71-449B-92D6-32EC669D2CBF}"/>
    <cellStyle name="Percent [2] 8 3 2 2" xfId="668" xr:uid="{DE3D2C5A-D91D-4D74-B085-FAEBE34F5D4A}"/>
    <cellStyle name="Percent [2] 8 3 3" xfId="669" xr:uid="{FD6E92EF-99A1-43BB-A83C-2E6C1D7C325A}"/>
    <cellStyle name="Percent [2] 8 4" xfId="670" xr:uid="{F6FF6395-2374-4BF3-B866-14A0A444F8B3}"/>
    <cellStyle name="Percent [2] 9" xfId="671" xr:uid="{73B1DA63-F75C-408C-9BF7-086DB3B817BD}"/>
    <cellStyle name="Percent [2] 9 2" xfId="672" xr:uid="{FFC8FFF5-A9AB-4DB6-B85E-4A0A46D90F89}"/>
    <cellStyle name="Percent [2] 9 2 2" xfId="673" xr:uid="{0FADA243-4C3F-4202-ACF6-180E8ECECEC5}"/>
    <cellStyle name="Percent [2] 9 3" xfId="674" xr:uid="{712DCB4B-3370-426D-8745-46076313A5AC}"/>
    <cellStyle name="Percent 10" xfId="675" xr:uid="{C96FD2CB-D6BE-4C64-AE2F-DBED3ADF1E41}"/>
    <cellStyle name="Percent 10 2" xfId="676" xr:uid="{3977D643-EAEF-4592-8424-94E4A7E16188}"/>
    <cellStyle name="Percent 10 3" xfId="677" xr:uid="{4806F457-F522-4286-8FCC-2C374D79BBC5}"/>
    <cellStyle name="Percent 11" xfId="678" xr:uid="{B1B7EDFF-C63D-4A3E-A643-B790313B3D7E}"/>
    <cellStyle name="Percent 12" xfId="679" xr:uid="{853DABB4-6D52-4029-854C-50B6113E3FE5}"/>
    <cellStyle name="Percent 13" xfId="680" xr:uid="{AD07811B-BC31-4EC7-8295-6AFE86D2DD1D}"/>
    <cellStyle name="Percent 14" xfId="681" xr:uid="{8E5E39D3-D281-456E-A257-94D8D3488C1B}"/>
    <cellStyle name="Percent 15" xfId="682" xr:uid="{A89F7B83-70F3-4759-818C-75E88DCDFC00}"/>
    <cellStyle name="Percent 16" xfId="683" xr:uid="{BC71714A-04FF-462C-A018-581656482F6C}"/>
    <cellStyle name="Percent 2" xfId="684" xr:uid="{188EA865-9243-4982-A789-1DDC52E318DC}"/>
    <cellStyle name="Percent 2 2" xfId="685" xr:uid="{9C20DD4C-3DD1-4FAF-8D3F-9CDB68495F5E}"/>
    <cellStyle name="Percent 3" xfId="686" xr:uid="{BA9D11DE-0C39-4667-B458-2DD13AA20639}"/>
    <cellStyle name="Percent 4" xfId="687" xr:uid="{7CCB48BC-DD4A-40F4-B227-7600A5F3F7BD}"/>
    <cellStyle name="Percent 5" xfId="688" xr:uid="{11E82516-E57B-414F-A512-E5734A00E1F2}"/>
    <cellStyle name="Percent 6" xfId="689" xr:uid="{E9DE3038-D344-4AF7-9FCE-14962CF77D80}"/>
    <cellStyle name="Percent 7" xfId="690" xr:uid="{D0EF7D1C-AE26-471A-AB4D-6515BA12773C}"/>
    <cellStyle name="Percent 8" xfId="691" xr:uid="{29BB401D-05D4-4713-9B2B-4429950FA7A6}"/>
    <cellStyle name="Percent 9" xfId="692" xr:uid="{8E2D17CE-BE55-4A6B-972D-3C11B94A5337}"/>
    <cellStyle name="PrePop Currency (0)" xfId="693" xr:uid="{EB26BCE5-AB17-4894-9AD4-4E2DC741B2C9}"/>
    <cellStyle name="PrePop Currency (2)" xfId="694" xr:uid="{806EA484-93B9-4902-B8EC-15F1B4B7EBF4}"/>
    <cellStyle name="PrePop Units (0)" xfId="695" xr:uid="{AEE0C3D7-D84E-4E97-AB4A-0D3C9F69FA1B}"/>
    <cellStyle name="PrePop Units (1)" xfId="696" xr:uid="{F643B6A7-872B-42F0-A9CA-A73930460DE8}"/>
    <cellStyle name="PrePop Units (2)" xfId="697" xr:uid="{03EE12FD-07F9-4F76-9FCF-493CE1C1C414}"/>
    <cellStyle name="pricing" xfId="698" xr:uid="{8D98B3FA-6E18-4AFB-AAB9-05856CD8A362}"/>
    <cellStyle name="PSChar" xfId="699" xr:uid="{C69823EE-2AF2-499E-A1B4-1A3919BA6CBB}"/>
    <cellStyle name="RevList" xfId="700" xr:uid="{7E2106CF-B586-46AB-945D-4E28E6074693}"/>
    <cellStyle name="RevList 2" xfId="701" xr:uid="{E97EBB1E-B76F-4B3C-A0BB-9F2C3EB03FBB}"/>
    <cellStyle name="Separador de milhares [0]_Person" xfId="702" xr:uid="{ED679BEF-AD9D-4DB2-B3A9-AE5678434B26}"/>
    <cellStyle name="Separador de milhares_Person" xfId="703" xr:uid="{4CAFC30D-03E1-4BE3-B882-1B420D14F98A}"/>
    <cellStyle name="Style 1" xfId="704" xr:uid="{3307C838-B239-45F8-902D-E78800EAE59A}"/>
    <cellStyle name="Style 1 2" xfId="705" xr:uid="{7A3D343D-E6E7-40B8-80EE-B8ECB0FB4CF1}"/>
    <cellStyle name="Subtotal" xfId="706" xr:uid="{32738A92-DED3-41F3-B7F1-738C27316371}"/>
    <cellStyle name="Text Indent A" xfId="707" xr:uid="{63EF3ED6-3186-4E8F-942E-9FA4B17F3D04}"/>
    <cellStyle name="Text Indent B" xfId="708" xr:uid="{8EE3DB9E-87B8-4625-9584-4E86B256BE31}"/>
    <cellStyle name="Text Indent C" xfId="709" xr:uid="{7531237E-6694-4E27-9D24-AA2F9E5BAD51}"/>
    <cellStyle name="Titel" xfId="710" xr:uid="{1EED7B9E-1C70-4305-9F70-C9090B9DC322}"/>
    <cellStyle name="Title 2" xfId="711" xr:uid="{0C09FCF2-4EC5-4B6D-B34E-4D58FEAC16B7}"/>
    <cellStyle name="Title 2 2" xfId="712" xr:uid="{99EA4075-7ACB-47D8-A239-CCE9DA3EDF44}"/>
    <cellStyle name="Title 3" xfId="713" xr:uid="{BEAD0EC1-9D05-4BCE-9F20-AE62F15A5175}"/>
    <cellStyle name="Totaal" xfId="714" xr:uid="{3CF8DD5A-CDE4-49FE-AD1B-B3077E2B7C1E}"/>
    <cellStyle name="Total 2" xfId="715" xr:uid="{30E13753-398C-4300-A227-7F5DC96DDBAC}"/>
    <cellStyle name="Uitvoer" xfId="716" xr:uid="{8DAB14E7-01BD-48E9-90C9-63D0A2465478}"/>
    <cellStyle name="Verklarende tekst" xfId="717" xr:uid="{104A0CBE-7176-4F70-80C9-1BAE73B9789F}"/>
    <cellStyle name="Waarschuwingstekst" xfId="718" xr:uid="{E6212427-5624-464A-BC44-256EA5582614}"/>
    <cellStyle name="Warning Text 2" xfId="719" xr:uid="{0F5403BA-58B9-4CA3-84BD-7290367AC05B}"/>
    <cellStyle name="Обычный_Лист1" xfId="720" xr:uid="{1E862EF2-A8EA-4767-9F8C-8FD120739821}"/>
    <cellStyle name="쉼표 [0]_BERNETTE" xfId="721" xr:uid="{3D17EC37-CEF2-4701-A663-C6CDE5693161}"/>
    <cellStyle name="표준_INVOICE PACKING'" xfId="722" xr:uid="{C76F024E-FD3C-4C0A-A1D5-556CF67E258C}"/>
    <cellStyle name="一般_#1060 (SW-97)" xfId="723" xr:uid="{8B072FED-8822-49FC-BAA4-F0A407796A91}"/>
    <cellStyle name="中等" xfId="724" xr:uid="{8646E39A-D8B2-49DC-9305-769BD8F6D33E}"/>
    <cellStyle name="備註" xfId="725" xr:uid="{7C0AC9C9-BDA3-40AC-9AFA-9DE8524C8F73}"/>
    <cellStyle name="千分位[0]_NEW SAMPLE-1" xfId="726" xr:uid="{A66B0666-EE60-43CD-A045-EAA403EB1987}"/>
    <cellStyle name="合計" xfId="727" xr:uid="{BEDDB754-55AB-4312-87E5-9910EE5BA802}"/>
    <cellStyle name="壞" xfId="728" xr:uid="{7773FCE8-70BD-482C-B67D-217284660C34}"/>
    <cellStyle name="好" xfId="729" xr:uid="{6BD5B004-87BC-4E36-8BCF-3E01846D8AC0}"/>
    <cellStyle name="已瀏覽過的超連結" xfId="730" xr:uid="{A8CDA62C-D5B4-4A41-A3E6-F7C7C217DA41}"/>
    <cellStyle name="常规 2" xfId="731" xr:uid="{10FABB49-27DF-48EA-A18C-107A887112DA}"/>
    <cellStyle name="常规_CV11US-63(11-03-03)  TOTAL KS" xfId="732" xr:uid="{B71E8DD1-B9AC-45C8-853F-4A7539C8CA8C}"/>
    <cellStyle name="標題" xfId="733" xr:uid="{65D7939B-467F-42FD-88FA-28DDFD8B4ABB}"/>
    <cellStyle name="標題 1" xfId="734" xr:uid="{6A679F47-B9CF-4150-8AD2-D1E4B4B59DE3}"/>
    <cellStyle name="標題 2" xfId="735" xr:uid="{082642D4-E3AF-4285-8866-366109E07070}"/>
    <cellStyle name="標題 3" xfId="736" xr:uid="{76385130-7931-425C-BDAE-9CC3A3227A26}"/>
    <cellStyle name="標題 4" xfId="737" xr:uid="{EC066E40-734F-408D-9F0D-50A0FB384716}"/>
    <cellStyle name="樣式 1" xfId="738" xr:uid="{5ED9CEC9-22AC-4DF4-ABA9-5E345A4B14F9}"/>
    <cellStyle name="檢查儲存格" xfId="739" xr:uid="{4250A3DD-EDE8-4A3A-88E6-EAEF1DF4D623}"/>
    <cellStyle name="計算方式" xfId="740" xr:uid="{8691500C-BFFF-424D-8C6E-8359BA234EC6}"/>
    <cellStyle name="說明文字" xfId="741" xr:uid="{68C72620-C669-47A0-AFF6-4D7AE0A2CFA5}"/>
    <cellStyle name="警告文字" xfId="742" xr:uid="{F03D71A3-0112-4BA1-A08E-370FA6D7F362}"/>
    <cellStyle name="貨幣 [0]_Intamoda-DP" xfId="743" xr:uid="{2B8A54B6-7B47-427F-B17C-49D53100B70C}"/>
    <cellStyle name="超連結" xfId="744" xr:uid="{22C2DF96-837D-4403-8993-067F93F4E14A}"/>
    <cellStyle name="輔色1" xfId="745" xr:uid="{20F9EE54-9F76-415C-A0DA-05DC735B6929}"/>
    <cellStyle name="輔色2" xfId="746" xr:uid="{47EA9106-CDFE-4400-A568-6FD23633DA37}"/>
    <cellStyle name="輔色3" xfId="747" xr:uid="{F22DBD77-8F87-43AB-BC79-8DDF074D8EA1}"/>
    <cellStyle name="輔色4" xfId="748" xr:uid="{97121654-CE26-4D28-8715-74C2A627C737}"/>
    <cellStyle name="輔色5" xfId="749" xr:uid="{75C6264D-396A-4373-BB08-5B2CBCCEF12A}"/>
    <cellStyle name="輔色6" xfId="750" xr:uid="{FC764202-F1FE-43A2-B50C-54EC62BCCFA4}"/>
    <cellStyle name="輸入" xfId="751" xr:uid="{32605CA7-E9F3-4EA1-A3D5-F6FF1DFAD4EF}"/>
    <cellStyle name="輸出" xfId="752" xr:uid="{2ED0D04C-DC31-4876-AA12-B7BF0E005FAC}"/>
    <cellStyle name="連結的儲存格" xfId="753" xr:uid="{E5BF01F9-36B9-4212-BCD5-F2D1762AFFF7}"/>
    <cellStyle name="隨後的超連結_0176-08CT1059" xfId="754" xr:uid="{2FD12636-E695-465C-A9B4-22905424948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58616</xdr:colOff>
      <xdr:row>10</xdr:row>
      <xdr:rowOff>68386</xdr:rowOff>
    </xdr:from>
    <xdr:to>
      <xdr:col>1</xdr:col>
      <xdr:colOff>917206</xdr:colOff>
      <xdr:row>14</xdr:row>
      <xdr:rowOff>107461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FE61D1-7614-FBBC-C60A-5632506D7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5308" y="2427655"/>
          <a:ext cx="858590" cy="972037"/>
        </a:xfrm>
        <a:prstGeom prst="rect">
          <a:avLst/>
        </a:prstGeom>
      </xdr:spPr>
    </xdr:pic>
    <xdr:clientData/>
  </xdr:twoCellAnchor>
  <xdr:twoCellAnchor editAs="oneCell">
    <xdr:from>
      <xdr:col>1</xdr:col>
      <xdr:colOff>48367</xdr:colOff>
      <xdr:row>18</xdr:row>
      <xdr:rowOff>68384</xdr:rowOff>
    </xdr:from>
    <xdr:to>
      <xdr:col>1</xdr:col>
      <xdr:colOff>942732</xdr:colOff>
      <xdr:row>23</xdr:row>
      <xdr:rowOff>48593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C04390-A138-FDC4-0E01-0BAF2263E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5059" y="4029807"/>
          <a:ext cx="894365" cy="1030401"/>
        </a:xfrm>
        <a:prstGeom prst="rect">
          <a:avLst/>
        </a:prstGeom>
      </xdr:spPr>
    </xdr:pic>
    <xdr:clientData/>
  </xdr:twoCellAnchor>
  <xdr:twoCellAnchor editAs="oneCell">
    <xdr:from>
      <xdr:col>1</xdr:col>
      <xdr:colOff>39077</xdr:colOff>
      <xdr:row>26</xdr:row>
      <xdr:rowOff>43961</xdr:rowOff>
    </xdr:from>
    <xdr:to>
      <xdr:col>1</xdr:col>
      <xdr:colOff>946839</xdr:colOff>
      <xdr:row>31</xdr:row>
      <xdr:rowOff>85656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AD8353-AE9F-E640-2A3F-735B6B4F7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5769" y="5587999"/>
          <a:ext cx="907762" cy="1033272"/>
        </a:xfrm>
        <a:prstGeom prst="rect">
          <a:avLst/>
        </a:prstGeom>
      </xdr:spPr>
    </xdr:pic>
    <xdr:clientData/>
  </xdr:twoCellAnchor>
  <xdr:twoCellAnchor editAs="oneCell">
    <xdr:from>
      <xdr:col>1</xdr:col>
      <xdr:colOff>43962</xdr:colOff>
      <xdr:row>35</xdr:row>
      <xdr:rowOff>48846</xdr:rowOff>
    </xdr:from>
    <xdr:to>
      <xdr:col>1</xdr:col>
      <xdr:colOff>954988</xdr:colOff>
      <xdr:row>40</xdr:row>
      <xdr:rowOff>71002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B33D6BC-E0A3-D3CB-A7AF-95A01D71F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30654" y="7116884"/>
          <a:ext cx="911026" cy="1033272"/>
        </a:xfrm>
        <a:prstGeom prst="rect">
          <a:avLst/>
        </a:prstGeom>
      </xdr:spPr>
    </xdr:pic>
    <xdr:clientData/>
  </xdr:twoCellAnchor>
  <xdr:twoCellAnchor editAs="oneCell">
    <xdr:from>
      <xdr:col>1</xdr:col>
      <xdr:colOff>48846</xdr:colOff>
      <xdr:row>43</xdr:row>
      <xdr:rowOff>63500</xdr:rowOff>
    </xdr:from>
    <xdr:to>
      <xdr:col>1</xdr:col>
      <xdr:colOff>934920</xdr:colOff>
      <xdr:row>48</xdr:row>
      <xdr:rowOff>46579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5B233E3-42C4-8186-5179-0272C33A2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35538" y="8797192"/>
          <a:ext cx="886074" cy="1033272"/>
        </a:xfrm>
        <a:prstGeom prst="rect">
          <a:avLst/>
        </a:prstGeom>
      </xdr:spPr>
    </xdr:pic>
    <xdr:clientData/>
  </xdr:twoCellAnchor>
  <xdr:twoCellAnchor editAs="oneCell">
    <xdr:from>
      <xdr:col>1</xdr:col>
      <xdr:colOff>58616</xdr:colOff>
      <xdr:row>59</xdr:row>
      <xdr:rowOff>107462</xdr:rowOff>
    </xdr:from>
    <xdr:to>
      <xdr:col>1</xdr:col>
      <xdr:colOff>956858</xdr:colOff>
      <xdr:row>64</xdr:row>
      <xdr:rowOff>36811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84C2D5B-DCA9-8054-EC20-30A927500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5308" y="10423770"/>
          <a:ext cx="898242" cy="1033272"/>
        </a:xfrm>
        <a:prstGeom prst="rect">
          <a:avLst/>
        </a:prstGeom>
      </xdr:spPr>
    </xdr:pic>
    <xdr:clientData/>
  </xdr:twoCellAnchor>
  <xdr:twoCellAnchor editAs="oneCell">
    <xdr:from>
      <xdr:col>1</xdr:col>
      <xdr:colOff>39077</xdr:colOff>
      <xdr:row>66</xdr:row>
      <xdr:rowOff>48845</xdr:rowOff>
    </xdr:from>
    <xdr:to>
      <xdr:col>1</xdr:col>
      <xdr:colOff>955882</xdr:colOff>
      <xdr:row>71</xdr:row>
      <xdr:rowOff>71001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830B67-E56E-FA37-71AF-D0555063E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25769" y="11850076"/>
          <a:ext cx="916805" cy="1033272"/>
        </a:xfrm>
        <a:prstGeom prst="rect">
          <a:avLst/>
        </a:prstGeom>
      </xdr:spPr>
    </xdr:pic>
    <xdr:clientData/>
  </xdr:twoCellAnchor>
  <xdr:twoCellAnchor editAs="oneCell">
    <xdr:from>
      <xdr:col>1</xdr:col>
      <xdr:colOff>39076</xdr:colOff>
      <xdr:row>73</xdr:row>
      <xdr:rowOff>73270</xdr:rowOff>
    </xdr:from>
    <xdr:to>
      <xdr:col>1</xdr:col>
      <xdr:colOff>954931</xdr:colOff>
      <xdr:row>78</xdr:row>
      <xdr:rowOff>41696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C64712F-CC47-8DCF-7667-A50D379BA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25768" y="13266616"/>
          <a:ext cx="915855" cy="1033272"/>
        </a:xfrm>
        <a:prstGeom prst="rect">
          <a:avLst/>
        </a:prstGeom>
      </xdr:spPr>
    </xdr:pic>
    <xdr:clientData/>
  </xdr:twoCellAnchor>
  <xdr:twoCellAnchor editAs="oneCell">
    <xdr:from>
      <xdr:col>1</xdr:col>
      <xdr:colOff>34193</xdr:colOff>
      <xdr:row>80</xdr:row>
      <xdr:rowOff>107461</xdr:rowOff>
    </xdr:from>
    <xdr:to>
      <xdr:col>1</xdr:col>
      <xdr:colOff>958545</xdr:colOff>
      <xdr:row>85</xdr:row>
      <xdr:rowOff>36810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DC45A42-06A1-0B48-D058-52D398D46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20885" y="14746653"/>
          <a:ext cx="924352" cy="1033272"/>
        </a:xfrm>
        <a:prstGeom prst="rect">
          <a:avLst/>
        </a:prstGeom>
      </xdr:spPr>
    </xdr:pic>
    <xdr:clientData/>
  </xdr:twoCellAnchor>
  <xdr:twoCellAnchor editAs="oneCell">
    <xdr:from>
      <xdr:col>1</xdr:col>
      <xdr:colOff>39076</xdr:colOff>
      <xdr:row>87</xdr:row>
      <xdr:rowOff>166077</xdr:rowOff>
    </xdr:from>
    <xdr:to>
      <xdr:col>1</xdr:col>
      <xdr:colOff>934774</xdr:colOff>
      <xdr:row>92</xdr:row>
      <xdr:rowOff>124734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13FAEA6-81DF-6EDF-0D19-87D36BFA0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25768" y="16290192"/>
          <a:ext cx="895698" cy="10332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EF438-55AA-4547-8905-3FD9E69C44C5}">
  <dimension ref="A2:AA14"/>
  <sheetViews>
    <sheetView view="pageBreakPreview" topLeftCell="C1" zoomScale="60" zoomScaleNormal="70" workbookViewId="0">
      <selection activeCell="P8" sqref="P8:P12"/>
    </sheetView>
  </sheetViews>
  <sheetFormatPr defaultRowHeight="13"/>
  <cols>
    <col min="1" max="1" width="17.9140625" customWidth="1"/>
    <col min="2" max="2" width="14" customWidth="1"/>
    <col min="3" max="3" width="8.33203125" style="2" customWidth="1"/>
    <col min="4" max="4" width="8.08203125" customWidth="1"/>
    <col min="5" max="5" width="6.6640625" customWidth="1"/>
    <col min="6" max="6" width="14.4140625" customWidth="1"/>
    <col min="7" max="7" width="10.6640625" customWidth="1"/>
    <col min="8" max="8" width="9.08203125" customWidth="1"/>
    <col min="9" max="9" width="9.9140625" customWidth="1"/>
    <col min="10" max="10" width="11" customWidth="1"/>
    <col min="11" max="11" width="10.33203125" customWidth="1"/>
    <col min="12" max="12" width="11" customWidth="1"/>
    <col min="13" max="13" width="10.9140625" hidden="1" customWidth="1"/>
    <col min="14" max="14" width="14" customWidth="1"/>
    <col min="15" max="18" width="9" customWidth="1"/>
    <col min="19" max="19" width="8.25" customWidth="1"/>
    <col min="20" max="20" width="9.25" customWidth="1"/>
    <col min="21" max="21" width="10.33203125" customWidth="1"/>
    <col min="22" max="23" width="7.75" customWidth="1"/>
    <col min="25" max="25" width="9.6640625" customWidth="1"/>
    <col min="26" max="26" width="9" style="3" customWidth="1"/>
  </cols>
  <sheetData>
    <row r="2" spans="1:27" ht="30" customHeight="1">
      <c r="C2" s="158" t="s">
        <v>15</v>
      </c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7" ht="30" customHeight="1">
      <c r="C3" s="159" t="s">
        <v>16</v>
      </c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</row>
    <row r="5" spans="1:27" ht="19.5" customHeight="1" thickBot="1">
      <c r="C5" s="160" t="s">
        <v>7</v>
      </c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</row>
    <row r="6" spans="1:27" ht="50.25" customHeight="1">
      <c r="A6" s="152" t="s">
        <v>17</v>
      </c>
      <c r="B6" s="154" t="s">
        <v>18</v>
      </c>
      <c r="C6" s="156" t="s">
        <v>6</v>
      </c>
      <c r="D6" s="156" t="s">
        <v>19</v>
      </c>
      <c r="E6" s="156" t="s">
        <v>20</v>
      </c>
      <c r="F6" s="170" t="s">
        <v>21</v>
      </c>
      <c r="G6" s="161" t="s">
        <v>22</v>
      </c>
      <c r="H6" s="162"/>
      <c r="I6" s="163"/>
      <c r="J6" s="164" t="s">
        <v>23</v>
      </c>
      <c r="K6" s="165"/>
      <c r="L6" s="166"/>
      <c r="M6" s="40"/>
      <c r="N6" s="4" t="s">
        <v>24</v>
      </c>
      <c r="O6" s="167" t="s">
        <v>43</v>
      </c>
      <c r="P6" s="168"/>
      <c r="Q6" s="168"/>
      <c r="R6" s="169"/>
      <c r="S6" s="172" t="s">
        <v>25</v>
      </c>
      <c r="T6" s="174" t="s">
        <v>26</v>
      </c>
      <c r="U6" s="176" t="s">
        <v>27</v>
      </c>
      <c r="V6" s="178" t="s">
        <v>0</v>
      </c>
      <c r="W6" s="179"/>
      <c r="X6" s="179"/>
      <c r="Y6" s="180"/>
      <c r="Z6" s="5"/>
    </row>
    <row r="7" spans="1:27" ht="41.25" customHeight="1">
      <c r="A7" s="153"/>
      <c r="B7" s="155"/>
      <c r="C7" s="157"/>
      <c r="D7" s="157"/>
      <c r="E7" s="157"/>
      <c r="F7" s="171"/>
      <c r="G7" s="6" t="s">
        <v>28</v>
      </c>
      <c r="H7" s="7" t="s">
        <v>29</v>
      </c>
      <c r="I7" s="8" t="s">
        <v>30</v>
      </c>
      <c r="J7" s="9" t="s">
        <v>28</v>
      </c>
      <c r="K7" s="10" t="s">
        <v>29</v>
      </c>
      <c r="L7" s="11" t="s">
        <v>30</v>
      </c>
      <c r="M7" s="12" t="s">
        <v>31</v>
      </c>
      <c r="N7" s="13" t="s">
        <v>32</v>
      </c>
      <c r="O7" s="13" t="s">
        <v>40</v>
      </c>
      <c r="P7" s="13" t="s">
        <v>33</v>
      </c>
      <c r="Q7" s="39" t="s">
        <v>41</v>
      </c>
      <c r="R7" s="39" t="s">
        <v>42</v>
      </c>
      <c r="S7" s="173"/>
      <c r="T7" s="175"/>
      <c r="U7" s="177"/>
      <c r="V7" s="14" t="s">
        <v>34</v>
      </c>
      <c r="W7" s="15" t="s">
        <v>35</v>
      </c>
      <c r="X7" s="16" t="s">
        <v>36</v>
      </c>
      <c r="Y7" s="17" t="s">
        <v>27</v>
      </c>
      <c r="Z7" s="18" t="s">
        <v>3</v>
      </c>
    </row>
    <row r="8" spans="1:27" ht="33.75" customHeight="1">
      <c r="A8" s="145" t="s">
        <v>8</v>
      </c>
      <c r="B8" s="146">
        <v>5885202</v>
      </c>
      <c r="C8" s="147" t="s">
        <v>9</v>
      </c>
      <c r="D8" s="19" t="s">
        <v>37</v>
      </c>
      <c r="E8" s="20" t="s">
        <v>10</v>
      </c>
      <c r="F8" s="1">
        <v>929373703</v>
      </c>
      <c r="G8" s="21">
        <v>622</v>
      </c>
      <c r="H8" s="22">
        <v>1</v>
      </c>
      <c r="I8" s="23">
        <f>G8*H8</f>
        <v>622</v>
      </c>
      <c r="J8" s="24">
        <v>15</v>
      </c>
      <c r="K8" s="24">
        <v>41</v>
      </c>
      <c r="L8" s="25">
        <f>J8*K8</f>
        <v>615</v>
      </c>
      <c r="M8" s="150"/>
      <c r="N8" s="151" t="s">
        <v>38</v>
      </c>
      <c r="O8" s="26">
        <f>P8-1.6</f>
        <v>7.5500000000000007</v>
      </c>
      <c r="P8" s="26">
        <v>9.15</v>
      </c>
      <c r="Q8" s="26">
        <f>O8*J8</f>
        <v>113.25000000000001</v>
      </c>
      <c r="R8" s="26">
        <f>P8*J8</f>
        <v>137.25</v>
      </c>
      <c r="S8" s="141"/>
      <c r="T8" s="27">
        <f>IF(L8="0","",L8-I8)</f>
        <v>-7</v>
      </c>
      <c r="U8" s="28">
        <f>IF(OR(L8=0,T8=0),"",(T8/L8))</f>
        <v>-1.1382113821138212E-2</v>
      </c>
      <c r="V8" s="142">
        <f>SUM(I8:I12)</f>
        <v>4000</v>
      </c>
      <c r="W8" s="142">
        <f>SUM(L8:L12)</f>
        <v>4018</v>
      </c>
      <c r="X8" s="143">
        <f>IF(W8="0","",W8-V8)</f>
        <v>18</v>
      </c>
      <c r="Y8" s="144">
        <f>IF(OR(X8=0,V8=0),"",X8/V8)</f>
        <v>4.4999999999999997E-3</v>
      </c>
      <c r="Z8" s="29">
        <f>0.53*0.37*0.27*J8</f>
        <v>0.79420500000000005</v>
      </c>
      <c r="AA8" s="30"/>
    </row>
    <row r="9" spans="1:27" ht="33.75" customHeight="1">
      <c r="A9" s="145"/>
      <c r="B9" s="146"/>
      <c r="C9" s="148"/>
      <c r="D9" s="19" t="s">
        <v>37</v>
      </c>
      <c r="E9" s="20" t="s">
        <v>11</v>
      </c>
      <c r="F9" s="1">
        <v>929373691</v>
      </c>
      <c r="G9" s="21">
        <v>955</v>
      </c>
      <c r="H9" s="22">
        <v>1</v>
      </c>
      <c r="I9" s="23">
        <f>G9*H9</f>
        <v>955</v>
      </c>
      <c r="J9" s="24">
        <v>25</v>
      </c>
      <c r="K9" s="24">
        <v>39</v>
      </c>
      <c r="L9" s="25">
        <f>J9*K9</f>
        <v>975</v>
      </c>
      <c r="M9" s="150"/>
      <c r="N9" s="151"/>
      <c r="O9" s="26">
        <f>P9-1.6</f>
        <v>7.6</v>
      </c>
      <c r="P9" s="26">
        <v>9.1999999999999993</v>
      </c>
      <c r="Q9" s="26">
        <f>O9*J9</f>
        <v>190</v>
      </c>
      <c r="R9" s="26">
        <f>P9*J9</f>
        <v>229.99999999999997</v>
      </c>
      <c r="S9" s="141"/>
      <c r="T9" s="27">
        <f>L9-I9</f>
        <v>20</v>
      </c>
      <c r="U9" s="28">
        <f>IF(OR(L9=0,T9=0),"",(T9/L9))</f>
        <v>2.0512820512820513E-2</v>
      </c>
      <c r="V9" s="142"/>
      <c r="W9" s="142"/>
      <c r="X9" s="143"/>
      <c r="Y9" s="144"/>
      <c r="Z9" s="29">
        <f>0.53*0.37*0.27*J9</f>
        <v>1.3236749999999999</v>
      </c>
      <c r="AA9" s="30"/>
    </row>
    <row r="10" spans="1:27" ht="33.75" customHeight="1">
      <c r="A10" s="145"/>
      <c r="B10" s="146"/>
      <c r="C10" s="148"/>
      <c r="D10" s="19" t="s">
        <v>37</v>
      </c>
      <c r="E10" s="20" t="s">
        <v>12</v>
      </c>
      <c r="F10" s="1">
        <v>929373682</v>
      </c>
      <c r="G10" s="21">
        <v>1038</v>
      </c>
      <c r="H10" s="22">
        <v>1</v>
      </c>
      <c r="I10" s="23">
        <f>G10*H10</f>
        <v>1038</v>
      </c>
      <c r="J10" s="24">
        <v>26</v>
      </c>
      <c r="K10" s="24">
        <v>40</v>
      </c>
      <c r="L10" s="25">
        <f>J10*K10</f>
        <v>1040</v>
      </c>
      <c r="M10" s="150"/>
      <c r="N10" s="151"/>
      <c r="O10" s="26">
        <f>P10-1.6</f>
        <v>8.6</v>
      </c>
      <c r="P10" s="26">
        <v>10.199999999999999</v>
      </c>
      <c r="Q10" s="26">
        <f>O10*J10</f>
        <v>223.6</v>
      </c>
      <c r="R10" s="26">
        <f>P10*J10</f>
        <v>265.2</v>
      </c>
      <c r="S10" s="141"/>
      <c r="T10" s="27">
        <f>L10-I10</f>
        <v>2</v>
      </c>
      <c r="U10" s="28">
        <f>IF(OR(L10=0,T10=0),"",(T10/L10))</f>
        <v>1.9230769230769232E-3</v>
      </c>
      <c r="V10" s="142"/>
      <c r="W10" s="142"/>
      <c r="X10" s="143"/>
      <c r="Y10" s="144"/>
      <c r="Z10" s="29">
        <f>0.53*0.37*0.27*J10</f>
        <v>1.376622</v>
      </c>
      <c r="AA10" s="30"/>
    </row>
    <row r="11" spans="1:27" ht="33.75" customHeight="1">
      <c r="A11" s="145"/>
      <c r="B11" s="146"/>
      <c r="C11" s="148"/>
      <c r="D11" s="19" t="s">
        <v>37</v>
      </c>
      <c r="E11" s="20" t="s">
        <v>13</v>
      </c>
      <c r="F11" s="1">
        <v>929373674</v>
      </c>
      <c r="G11" s="21">
        <v>830</v>
      </c>
      <c r="H11" s="22">
        <v>1</v>
      </c>
      <c r="I11" s="23">
        <f>G11*H11</f>
        <v>830</v>
      </c>
      <c r="J11" s="24">
        <v>23</v>
      </c>
      <c r="K11" s="24">
        <v>36</v>
      </c>
      <c r="L11" s="25">
        <f>J11*K11</f>
        <v>828</v>
      </c>
      <c r="M11" s="150"/>
      <c r="N11" s="151"/>
      <c r="O11" s="26">
        <f>P11-1.6</f>
        <v>8.2000000000000011</v>
      </c>
      <c r="P11" s="26">
        <v>9.8000000000000007</v>
      </c>
      <c r="Q11" s="26">
        <f>O11*J11</f>
        <v>188.60000000000002</v>
      </c>
      <c r="R11" s="26">
        <f>P11*J11</f>
        <v>225.4</v>
      </c>
      <c r="S11" s="141"/>
      <c r="T11" s="27">
        <f>L11-I11</f>
        <v>-2</v>
      </c>
      <c r="U11" s="28">
        <f>IF(OR(L11=0,T11=0),"",(T11/L11))</f>
        <v>-2.4154589371980675E-3</v>
      </c>
      <c r="V11" s="142"/>
      <c r="W11" s="142"/>
      <c r="X11" s="143"/>
      <c r="Y11" s="144"/>
      <c r="Z11" s="29">
        <f>0.53*0.37*0.27*J11</f>
        <v>1.217781</v>
      </c>
      <c r="AA11" s="30"/>
    </row>
    <row r="12" spans="1:27" ht="33.75" customHeight="1">
      <c r="A12" s="145"/>
      <c r="B12" s="146"/>
      <c r="C12" s="149"/>
      <c r="D12" s="19" t="s">
        <v>37</v>
      </c>
      <c r="E12" s="20" t="s">
        <v>14</v>
      </c>
      <c r="F12" s="1">
        <v>929373666</v>
      </c>
      <c r="G12" s="21">
        <v>555</v>
      </c>
      <c r="H12" s="22">
        <v>1</v>
      </c>
      <c r="I12" s="23">
        <f>G12*H12</f>
        <v>555</v>
      </c>
      <c r="J12" s="24">
        <v>16</v>
      </c>
      <c r="K12" s="24">
        <v>35</v>
      </c>
      <c r="L12" s="25">
        <f>J12*K12</f>
        <v>560</v>
      </c>
      <c r="M12" s="150"/>
      <c r="N12" s="151"/>
      <c r="O12" s="26">
        <f>P12-1.6</f>
        <v>8.7000000000000011</v>
      </c>
      <c r="P12" s="26">
        <v>10.3</v>
      </c>
      <c r="Q12" s="26">
        <f>O12*J12</f>
        <v>139.20000000000002</v>
      </c>
      <c r="R12" s="26">
        <f>P12*J12</f>
        <v>164.8</v>
      </c>
      <c r="S12" s="141"/>
      <c r="T12" s="27">
        <f>L12-I12</f>
        <v>5</v>
      </c>
      <c r="U12" s="28">
        <f>IF(OR(L12=0,T12=0),"",(T12/L12))</f>
        <v>8.9285714285714281E-3</v>
      </c>
      <c r="V12" s="142"/>
      <c r="W12" s="142"/>
      <c r="X12" s="143"/>
      <c r="Y12" s="144"/>
      <c r="Z12" s="29">
        <f>0.53*0.37*0.27*J12</f>
        <v>0.84715200000000002</v>
      </c>
      <c r="AA12" s="30"/>
    </row>
    <row r="13" spans="1:27" s="31" customFormat="1" ht="22.5" customHeight="1">
      <c r="C13" s="32"/>
      <c r="F13" s="33" t="s">
        <v>39</v>
      </c>
      <c r="G13" s="33">
        <f>SUM(G8:G12)</f>
        <v>4000</v>
      </c>
      <c r="J13" s="33">
        <f>SUM(J8:J12)</f>
        <v>105</v>
      </c>
      <c r="L13" s="34">
        <f>SUM(L8:L12)</f>
        <v>4018</v>
      </c>
      <c r="Q13" s="41">
        <f>SUM(Q8:Q12)</f>
        <v>854.65000000000009</v>
      </c>
      <c r="R13" s="41">
        <f>SUM(R8:R12)</f>
        <v>1022.6500000000001</v>
      </c>
      <c r="T13" s="35"/>
      <c r="U13" s="35"/>
      <c r="V13" s="36">
        <f>SUM(V8:V12)</f>
        <v>4000</v>
      </c>
      <c r="W13" s="36">
        <f>SUM(W8:W12)</f>
        <v>4018</v>
      </c>
      <c r="X13" s="36">
        <f>SUM(X8:X12)</f>
        <v>18</v>
      </c>
      <c r="Y13" s="35"/>
      <c r="Z13" s="37">
        <f>SUM(Z8:Z12)</f>
        <v>5.5594349999999997</v>
      </c>
    </row>
    <row r="14" spans="1:27" ht="14.5">
      <c r="T14" s="38"/>
      <c r="U14" s="38"/>
      <c r="V14" s="38"/>
      <c r="W14" s="38"/>
      <c r="X14" s="38"/>
      <c r="Y14" s="38"/>
      <c r="Z14" s="5"/>
    </row>
  </sheetData>
  <mergeCells count="26">
    <mergeCell ref="C2:Y2"/>
    <mergeCell ref="C3:Y3"/>
    <mergeCell ref="C5:Y5"/>
    <mergeCell ref="G6:I6"/>
    <mergeCell ref="J6:L6"/>
    <mergeCell ref="O6:R6"/>
    <mergeCell ref="F6:F7"/>
    <mergeCell ref="S6:S7"/>
    <mergeCell ref="T6:T7"/>
    <mergeCell ref="U6:U7"/>
    <mergeCell ref="V6:Y6"/>
    <mergeCell ref="A6:A7"/>
    <mergeCell ref="B6:B7"/>
    <mergeCell ref="C6:C7"/>
    <mergeCell ref="D6:D7"/>
    <mergeCell ref="E6:E7"/>
    <mergeCell ref="A8:A12"/>
    <mergeCell ref="B8:B12"/>
    <mergeCell ref="C8:C12"/>
    <mergeCell ref="M8:M12"/>
    <mergeCell ref="N8:N12"/>
    <mergeCell ref="S8:S12"/>
    <mergeCell ref="V8:V12"/>
    <mergeCell ref="W8:W12"/>
    <mergeCell ref="X8:X12"/>
    <mergeCell ref="Y8:Y12"/>
  </mergeCells>
  <pageMargins left="0.7" right="0.7" top="0.75" bottom="0.75" header="0.3" footer="0.3"/>
  <pageSetup paperSize="9" scale="4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DDBA6-81CF-45D9-9BEB-D309247E0699}">
  <sheetPr>
    <pageSetUpPr fitToPage="1"/>
  </sheetPr>
  <dimension ref="A1:Q102"/>
  <sheetViews>
    <sheetView showGridLines="0" tabSelected="1" view="pageBreakPreview" zoomScale="130" zoomScaleNormal="85" zoomScaleSheetLayoutView="130" workbookViewId="0">
      <selection activeCell="C55" sqref="C55"/>
    </sheetView>
  </sheetViews>
  <sheetFormatPr defaultRowHeight="14.5"/>
  <cols>
    <col min="1" max="2" width="12.9140625" style="38" customWidth="1"/>
    <col min="3" max="3" width="7.6640625" style="38" customWidth="1"/>
    <col min="4" max="4" width="6.75" style="38" customWidth="1"/>
    <col min="5" max="9" width="5" style="38" customWidth="1"/>
    <col min="10" max="10" width="5.33203125" style="38" customWidth="1"/>
    <col min="11" max="11" width="5.75" style="38" customWidth="1"/>
    <col min="12" max="12" width="8.4140625" style="38" customWidth="1"/>
    <col min="13" max="13" width="7.4140625" style="38" customWidth="1"/>
    <col min="14" max="16384" width="8.6640625" style="38"/>
  </cols>
  <sheetData>
    <row r="1" spans="1:17" ht="30.75" customHeight="1">
      <c r="A1" s="114" t="s">
        <v>62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6"/>
    </row>
    <row r="2" spans="1:17" ht="21">
      <c r="A2" s="117" t="s">
        <v>45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</row>
    <row r="3" spans="1:17" ht="22.5" customHeight="1">
      <c r="A3" s="120" t="s">
        <v>136</v>
      </c>
      <c r="B3" s="121"/>
      <c r="C3" s="121"/>
      <c r="D3" s="122"/>
      <c r="E3" s="97" t="s">
        <v>46</v>
      </c>
      <c r="F3" s="43"/>
      <c r="G3" s="43"/>
      <c r="H3" s="43"/>
      <c r="I3" s="43"/>
      <c r="J3" s="43"/>
      <c r="K3" s="43"/>
      <c r="L3" s="43"/>
      <c r="M3" s="98"/>
    </row>
    <row r="4" spans="1:17" ht="18" customHeight="1">
      <c r="A4" s="110" t="s">
        <v>137</v>
      </c>
      <c r="B4" s="111"/>
      <c r="C4" s="111"/>
      <c r="D4" s="112"/>
      <c r="E4" s="110" t="s">
        <v>72</v>
      </c>
      <c r="F4" s="111"/>
      <c r="G4" s="111"/>
      <c r="H4" s="111"/>
      <c r="I4" s="111"/>
      <c r="J4" s="111"/>
      <c r="K4" s="111"/>
      <c r="L4" s="111"/>
      <c r="M4" s="112"/>
    </row>
    <row r="5" spans="1:17" ht="17.25" customHeight="1">
      <c r="A5" s="110" t="s">
        <v>47</v>
      </c>
      <c r="B5" s="111"/>
      <c r="C5" s="111"/>
      <c r="D5" s="112"/>
      <c r="E5" s="113" t="s">
        <v>135</v>
      </c>
      <c r="F5" s="111"/>
      <c r="G5" s="111"/>
      <c r="H5" s="111"/>
      <c r="I5" s="111"/>
      <c r="J5" s="111"/>
      <c r="K5" s="111"/>
      <c r="L5" s="111"/>
      <c r="M5" s="112"/>
    </row>
    <row r="6" spans="1:17" ht="15.75" customHeight="1">
      <c r="A6" s="110" t="s">
        <v>138</v>
      </c>
      <c r="B6" s="111"/>
      <c r="C6" s="111"/>
      <c r="D6" s="112"/>
      <c r="E6" s="110" t="s">
        <v>73</v>
      </c>
      <c r="F6" s="111"/>
      <c r="G6" s="111"/>
      <c r="H6" s="111"/>
      <c r="I6" s="111"/>
      <c r="J6" s="111"/>
      <c r="K6" s="111"/>
      <c r="L6" s="111"/>
      <c r="M6" s="112"/>
    </row>
    <row r="7" spans="1:17" ht="14.25" customHeight="1">
      <c r="A7" s="110" t="s">
        <v>48</v>
      </c>
      <c r="B7" s="111"/>
      <c r="C7" s="111"/>
      <c r="D7" s="112"/>
      <c r="E7" s="110" t="s">
        <v>74</v>
      </c>
      <c r="F7" s="111"/>
      <c r="G7" s="95"/>
      <c r="H7" s="42"/>
      <c r="I7" s="43"/>
      <c r="J7" s="43"/>
      <c r="K7" s="43"/>
      <c r="L7" s="43"/>
      <c r="M7" s="96"/>
    </row>
    <row r="8" spans="1:17" ht="13.5" customHeight="1">
      <c r="A8" s="110" t="s">
        <v>49</v>
      </c>
      <c r="B8" s="111"/>
      <c r="C8" s="111"/>
      <c r="D8" s="112"/>
      <c r="E8" s="123">
        <f>E98</f>
        <v>5370</v>
      </c>
      <c r="F8" s="124"/>
      <c r="G8" s="95"/>
      <c r="H8" s="110"/>
      <c r="I8" s="111"/>
      <c r="J8" s="111"/>
      <c r="K8" s="111" t="s">
        <v>75</v>
      </c>
      <c r="L8" s="111"/>
      <c r="M8" s="96"/>
    </row>
    <row r="9" spans="1:17" ht="18.75" customHeight="1">
      <c r="A9" s="132" t="s">
        <v>44</v>
      </c>
      <c r="B9" s="138" t="s">
        <v>139</v>
      </c>
      <c r="C9" s="125" t="s">
        <v>50</v>
      </c>
      <c r="D9" s="132" t="s">
        <v>51</v>
      </c>
      <c r="E9" s="132" t="s">
        <v>52</v>
      </c>
      <c r="F9" s="132"/>
      <c r="G9" s="132"/>
      <c r="H9" s="132"/>
      <c r="I9" s="94"/>
      <c r="J9" s="132" t="s">
        <v>4</v>
      </c>
      <c r="K9" s="125" t="s">
        <v>53</v>
      </c>
      <c r="L9" s="125" t="s">
        <v>54</v>
      </c>
      <c r="M9" s="125" t="s">
        <v>55</v>
      </c>
      <c r="Q9" s="99"/>
    </row>
    <row r="10" spans="1:17" ht="15.75" customHeight="1" thickBot="1">
      <c r="A10" s="132"/>
      <c r="B10" s="139"/>
      <c r="C10" s="125"/>
      <c r="D10" s="132"/>
      <c r="E10" s="48" t="s">
        <v>56</v>
      </c>
      <c r="F10" s="48" t="s">
        <v>76</v>
      </c>
      <c r="G10" s="48" t="s">
        <v>77</v>
      </c>
      <c r="H10" s="48" t="s">
        <v>78</v>
      </c>
      <c r="I10" s="48" t="s">
        <v>79</v>
      </c>
      <c r="J10" s="132"/>
      <c r="K10" s="125"/>
      <c r="L10" s="125"/>
      <c r="M10" s="125"/>
    </row>
    <row r="11" spans="1:17" ht="28.5" customHeight="1">
      <c r="A11" s="133" t="s">
        <v>80</v>
      </c>
      <c r="B11" s="133"/>
      <c r="C11" s="94">
        <v>1</v>
      </c>
      <c r="D11" s="49" t="s">
        <v>81</v>
      </c>
      <c r="E11" s="50">
        <v>45</v>
      </c>
      <c r="F11" s="51"/>
      <c r="G11" s="51"/>
      <c r="H11" s="51"/>
      <c r="I11" s="52"/>
      <c r="J11" s="53">
        <f t="shared" ref="J11:J16" si="0">SUM(E11:I11)</f>
        <v>45</v>
      </c>
      <c r="K11" s="44">
        <f t="shared" ref="K11:K16" si="1">J11*C11</f>
        <v>45</v>
      </c>
      <c r="L11" s="94">
        <f>K11*0.09</f>
        <v>4.05</v>
      </c>
      <c r="M11" s="94">
        <f t="shared" ref="M11:M16" si="2">L11+1.5</f>
        <v>5.55</v>
      </c>
      <c r="P11" s="45"/>
    </row>
    <row r="12" spans="1:17" ht="15" customHeight="1">
      <c r="A12" s="134"/>
      <c r="B12" s="134"/>
      <c r="C12" s="94">
        <v>2</v>
      </c>
      <c r="D12" s="49" t="s">
        <v>82</v>
      </c>
      <c r="E12" s="55"/>
      <c r="F12" s="94">
        <v>50</v>
      </c>
      <c r="G12" s="94"/>
      <c r="H12" s="94"/>
      <c r="I12" s="56"/>
      <c r="J12" s="53">
        <f t="shared" si="0"/>
        <v>50</v>
      </c>
      <c r="K12" s="44">
        <f t="shared" si="1"/>
        <v>100</v>
      </c>
      <c r="L12" s="84">
        <f>K12*0.09</f>
        <v>9</v>
      </c>
      <c r="M12" s="84">
        <f t="shared" si="2"/>
        <v>10.5</v>
      </c>
      <c r="P12" s="45"/>
    </row>
    <row r="13" spans="1:17" ht="15" customHeight="1">
      <c r="A13" s="134"/>
      <c r="B13" s="134"/>
      <c r="C13" s="94">
        <v>3</v>
      </c>
      <c r="D13" s="49" t="s">
        <v>83</v>
      </c>
      <c r="E13" s="55"/>
      <c r="F13" s="94"/>
      <c r="G13" s="94">
        <v>50</v>
      </c>
      <c r="H13" s="94"/>
      <c r="I13" s="56"/>
      <c r="J13" s="53">
        <f t="shared" si="0"/>
        <v>50</v>
      </c>
      <c r="K13" s="44">
        <f t="shared" si="1"/>
        <v>150</v>
      </c>
      <c r="L13" s="84">
        <f>K13*0.1</f>
        <v>15</v>
      </c>
      <c r="M13" s="84">
        <f t="shared" si="2"/>
        <v>16.5</v>
      </c>
      <c r="P13" s="45"/>
    </row>
    <row r="14" spans="1:17" ht="15" customHeight="1">
      <c r="A14" s="134"/>
      <c r="B14" s="134"/>
      <c r="C14" s="94">
        <v>3</v>
      </c>
      <c r="D14" s="49" t="s">
        <v>84</v>
      </c>
      <c r="E14" s="55"/>
      <c r="F14" s="94"/>
      <c r="G14" s="94"/>
      <c r="H14" s="94">
        <v>50</v>
      </c>
      <c r="I14" s="56"/>
      <c r="J14" s="53">
        <f t="shared" si="0"/>
        <v>50</v>
      </c>
      <c r="K14" s="44">
        <f t="shared" si="1"/>
        <v>150</v>
      </c>
      <c r="L14" s="84">
        <f>K14*0.12</f>
        <v>18</v>
      </c>
      <c r="M14" s="84">
        <f t="shared" si="2"/>
        <v>19.5</v>
      </c>
      <c r="P14" s="45"/>
    </row>
    <row r="15" spans="1:17" ht="15" customHeight="1">
      <c r="A15" s="134"/>
      <c r="B15" s="134"/>
      <c r="C15" s="94">
        <v>1</v>
      </c>
      <c r="D15" s="49" t="s">
        <v>67</v>
      </c>
      <c r="E15" s="55"/>
      <c r="F15" s="94"/>
      <c r="G15" s="94"/>
      <c r="H15" s="94"/>
      <c r="I15" s="56">
        <v>48</v>
      </c>
      <c r="J15" s="53">
        <f t="shared" si="0"/>
        <v>48</v>
      </c>
      <c r="K15" s="44">
        <f t="shared" si="1"/>
        <v>48</v>
      </c>
      <c r="L15" s="94">
        <f>K15*0.125</f>
        <v>6</v>
      </c>
      <c r="M15" s="84">
        <f t="shared" si="2"/>
        <v>7.5</v>
      </c>
      <c r="P15" s="45"/>
    </row>
    <row r="16" spans="1:17" ht="15" customHeight="1" thickBot="1">
      <c r="A16" s="135"/>
      <c r="B16" s="135"/>
      <c r="C16" s="94">
        <v>1</v>
      </c>
      <c r="D16" s="49" t="s">
        <v>64</v>
      </c>
      <c r="E16" s="59"/>
      <c r="F16" s="60">
        <v>23</v>
      </c>
      <c r="G16" s="60">
        <v>10</v>
      </c>
      <c r="H16" s="60">
        <v>10</v>
      </c>
      <c r="I16" s="61"/>
      <c r="J16" s="53">
        <f t="shared" si="0"/>
        <v>43</v>
      </c>
      <c r="K16" s="44">
        <f t="shared" si="1"/>
        <v>43</v>
      </c>
      <c r="L16" s="94">
        <f>K16*0.09</f>
        <v>3.8699999999999997</v>
      </c>
      <c r="M16" s="94">
        <f t="shared" si="2"/>
        <v>5.3699999999999992</v>
      </c>
      <c r="P16" s="45"/>
    </row>
    <row r="17" spans="1:14" ht="15" customHeight="1">
      <c r="A17" s="94" t="s">
        <v>0</v>
      </c>
      <c r="B17" s="94"/>
      <c r="C17" s="67">
        <f>SUM(C11:C16)</f>
        <v>11</v>
      </c>
      <c r="D17" s="94"/>
      <c r="E17" s="62"/>
      <c r="F17" s="62"/>
      <c r="G17" s="62"/>
      <c r="H17" s="62"/>
      <c r="I17" s="62"/>
      <c r="J17" s="94"/>
      <c r="K17" s="83">
        <f>SUM(K11:K16)</f>
        <v>536</v>
      </c>
      <c r="L17" s="83">
        <f>SUM(L11:L16)</f>
        <v>55.919999999999995</v>
      </c>
      <c r="M17" s="83">
        <f>SUM(M11:M16)</f>
        <v>64.92</v>
      </c>
    </row>
    <row r="18" spans="1:14" ht="7.5" customHeight="1" thickBot="1">
      <c r="A18" s="46"/>
      <c r="B18" s="46"/>
      <c r="C18" s="46"/>
      <c r="D18" s="46"/>
      <c r="E18" s="63"/>
      <c r="F18" s="63"/>
      <c r="G18" s="63"/>
      <c r="H18" s="63"/>
      <c r="I18" s="63"/>
      <c r="J18" s="46"/>
      <c r="K18" s="46"/>
      <c r="L18" s="46"/>
      <c r="M18" s="46"/>
    </row>
    <row r="19" spans="1:14" ht="22.5" customHeight="1">
      <c r="A19" s="133" t="s">
        <v>140</v>
      </c>
      <c r="B19" s="133"/>
      <c r="C19" s="94">
        <v>1</v>
      </c>
      <c r="D19" s="58" t="s">
        <v>63</v>
      </c>
      <c r="E19" s="50">
        <v>48</v>
      </c>
      <c r="F19" s="51"/>
      <c r="G19" s="51"/>
      <c r="H19" s="51"/>
      <c r="I19" s="52"/>
      <c r="J19" s="57">
        <f t="shared" ref="J19:J24" si="3">SUM(E19:I19)</f>
        <v>48</v>
      </c>
      <c r="K19" s="94">
        <f t="shared" ref="K19:K24" si="4">J19*C19</f>
        <v>48</v>
      </c>
      <c r="L19" s="94">
        <f>K19*0.09</f>
        <v>4.32</v>
      </c>
      <c r="M19" s="94">
        <f t="shared" ref="M19:M24" si="5">L19+1.5</f>
        <v>5.82</v>
      </c>
      <c r="N19" s="38" t="s">
        <v>1</v>
      </c>
    </row>
    <row r="20" spans="1:14" ht="15" customHeight="1">
      <c r="A20" s="134"/>
      <c r="B20" s="134"/>
      <c r="C20" s="94">
        <v>2</v>
      </c>
      <c r="D20" s="54" t="s">
        <v>85</v>
      </c>
      <c r="E20" s="55"/>
      <c r="F20" s="94">
        <v>50</v>
      </c>
      <c r="G20" s="94"/>
      <c r="H20" s="94"/>
      <c r="I20" s="56"/>
      <c r="J20" s="57">
        <f t="shared" si="3"/>
        <v>50</v>
      </c>
      <c r="K20" s="94">
        <f t="shared" si="4"/>
        <v>100</v>
      </c>
      <c r="L20" s="84">
        <f>K20*0.09</f>
        <v>9</v>
      </c>
      <c r="M20" s="94">
        <f t="shared" si="5"/>
        <v>10.5</v>
      </c>
    </row>
    <row r="21" spans="1:14" ht="15" customHeight="1">
      <c r="A21" s="134"/>
      <c r="B21" s="134"/>
      <c r="C21" s="94">
        <v>3</v>
      </c>
      <c r="D21" s="58" t="s">
        <v>86</v>
      </c>
      <c r="E21" s="55"/>
      <c r="F21" s="94"/>
      <c r="G21" s="94">
        <v>50</v>
      </c>
      <c r="H21" s="94"/>
      <c r="I21" s="56"/>
      <c r="J21" s="57">
        <f t="shared" si="3"/>
        <v>50</v>
      </c>
      <c r="K21" s="94">
        <f t="shared" si="4"/>
        <v>150</v>
      </c>
      <c r="L21" s="84">
        <f>K21*0.1</f>
        <v>15</v>
      </c>
      <c r="M21" s="94">
        <f t="shared" si="5"/>
        <v>16.5</v>
      </c>
    </row>
    <row r="22" spans="1:14" ht="15" customHeight="1">
      <c r="A22" s="134"/>
      <c r="B22" s="134"/>
      <c r="C22" s="94">
        <v>3</v>
      </c>
      <c r="D22" s="58" t="s">
        <v>87</v>
      </c>
      <c r="E22" s="55"/>
      <c r="F22" s="94"/>
      <c r="G22" s="94"/>
      <c r="H22" s="94">
        <v>50</v>
      </c>
      <c r="I22" s="56"/>
      <c r="J22" s="57">
        <f t="shared" si="3"/>
        <v>50</v>
      </c>
      <c r="K22" s="94">
        <f t="shared" si="4"/>
        <v>150</v>
      </c>
      <c r="L22" s="94">
        <f>K22*0.12</f>
        <v>18</v>
      </c>
      <c r="M22" s="94">
        <f t="shared" si="5"/>
        <v>19.5</v>
      </c>
    </row>
    <row r="23" spans="1:14" ht="15" customHeight="1">
      <c r="A23" s="134"/>
      <c r="B23" s="134"/>
      <c r="C23" s="94">
        <v>1</v>
      </c>
      <c r="D23" s="58" t="s">
        <v>68</v>
      </c>
      <c r="E23" s="75"/>
      <c r="F23" s="48"/>
      <c r="G23" s="48"/>
      <c r="H23" s="48"/>
      <c r="I23" s="76">
        <v>44</v>
      </c>
      <c r="J23" s="57">
        <f t="shared" si="3"/>
        <v>44</v>
      </c>
      <c r="K23" s="94">
        <f t="shared" si="4"/>
        <v>44</v>
      </c>
      <c r="L23" s="94">
        <f>K23*0.125</f>
        <v>5.5</v>
      </c>
      <c r="M23" s="94">
        <f t="shared" si="5"/>
        <v>7</v>
      </c>
    </row>
    <row r="24" spans="1:14" ht="15" customHeight="1" thickBot="1">
      <c r="A24" s="135"/>
      <c r="B24" s="135"/>
      <c r="C24" s="94">
        <v>1</v>
      </c>
      <c r="D24" s="54" t="s">
        <v>69</v>
      </c>
      <c r="E24" s="59"/>
      <c r="F24" s="60">
        <v>27</v>
      </c>
      <c r="G24" s="60">
        <v>12</v>
      </c>
      <c r="H24" s="60">
        <v>12</v>
      </c>
      <c r="I24" s="61"/>
      <c r="J24" s="57">
        <f t="shared" si="3"/>
        <v>51</v>
      </c>
      <c r="K24" s="94">
        <f t="shared" si="4"/>
        <v>51</v>
      </c>
      <c r="L24" s="94">
        <f>K24*0.09</f>
        <v>4.59</v>
      </c>
      <c r="M24" s="94">
        <f t="shared" si="5"/>
        <v>6.09</v>
      </c>
    </row>
    <row r="25" spans="1:14" s="100" customFormat="1" ht="15" customHeight="1">
      <c r="A25" s="85" t="s">
        <v>0</v>
      </c>
      <c r="B25" s="85"/>
      <c r="C25" s="69">
        <f>SUM(C19:C24)</f>
        <v>11</v>
      </c>
      <c r="D25" s="86"/>
      <c r="E25" s="87"/>
      <c r="F25" s="87"/>
      <c r="G25" s="87"/>
      <c r="H25" s="87"/>
      <c r="I25" s="87"/>
      <c r="J25" s="86"/>
      <c r="K25" s="83">
        <f>SUM(K19:K24)</f>
        <v>543</v>
      </c>
      <c r="L25" s="83">
        <f>SUM(L19:L24)</f>
        <v>56.41</v>
      </c>
      <c r="M25" s="83">
        <f>SUM(M19:M24)</f>
        <v>65.41</v>
      </c>
    </row>
    <row r="26" spans="1:14" ht="12" customHeight="1" thickBot="1">
      <c r="A26" s="46"/>
      <c r="B26" s="46"/>
      <c r="C26" s="46"/>
      <c r="D26" s="46"/>
      <c r="E26" s="63"/>
      <c r="F26" s="63"/>
      <c r="G26" s="63"/>
      <c r="H26" s="63"/>
      <c r="I26" s="63"/>
      <c r="J26" s="46"/>
      <c r="K26" s="46"/>
      <c r="L26" s="46"/>
      <c r="M26" s="46"/>
    </row>
    <row r="27" spans="1:14" ht="18" customHeight="1">
      <c r="A27" s="133" t="s">
        <v>141</v>
      </c>
      <c r="B27" s="133"/>
      <c r="C27" s="94">
        <v>1</v>
      </c>
      <c r="D27" s="58" t="s">
        <v>70</v>
      </c>
      <c r="E27" s="50">
        <v>48</v>
      </c>
      <c r="F27" s="51"/>
      <c r="G27" s="51"/>
      <c r="H27" s="51"/>
      <c r="I27" s="52"/>
      <c r="J27" s="57">
        <f t="shared" ref="J27:J32" si="6">SUM(E27:I27)</f>
        <v>48</v>
      </c>
      <c r="K27" s="94">
        <f t="shared" ref="K27:K32" si="7">J27*C27</f>
        <v>48</v>
      </c>
      <c r="L27" s="94">
        <f>K27*0.09</f>
        <v>4.32</v>
      </c>
      <c r="M27" s="94">
        <f t="shared" ref="M27:M32" si="8">L27+1.5</f>
        <v>5.82</v>
      </c>
    </row>
    <row r="28" spans="1:14" ht="15" customHeight="1">
      <c r="A28" s="134"/>
      <c r="B28" s="134"/>
      <c r="C28" s="94">
        <v>2</v>
      </c>
      <c r="D28" s="58" t="s">
        <v>88</v>
      </c>
      <c r="E28" s="55"/>
      <c r="F28" s="94">
        <v>50</v>
      </c>
      <c r="G28" s="94"/>
      <c r="H28" s="94"/>
      <c r="I28" s="56"/>
      <c r="J28" s="57">
        <f t="shared" si="6"/>
        <v>50</v>
      </c>
      <c r="K28" s="94">
        <f t="shared" si="7"/>
        <v>100</v>
      </c>
      <c r="L28" s="84">
        <f>K28*0.09</f>
        <v>9</v>
      </c>
      <c r="M28" s="94">
        <f t="shared" si="8"/>
        <v>10.5</v>
      </c>
    </row>
    <row r="29" spans="1:14" ht="15" customHeight="1">
      <c r="A29" s="134"/>
      <c r="B29" s="134"/>
      <c r="C29" s="94">
        <v>3</v>
      </c>
      <c r="D29" s="58" t="s">
        <v>89</v>
      </c>
      <c r="E29" s="55"/>
      <c r="F29" s="94"/>
      <c r="G29" s="94">
        <v>50</v>
      </c>
      <c r="H29" s="94"/>
      <c r="I29" s="56"/>
      <c r="J29" s="57">
        <f t="shared" si="6"/>
        <v>50</v>
      </c>
      <c r="K29" s="94">
        <f t="shared" si="7"/>
        <v>150</v>
      </c>
      <c r="L29" s="84">
        <f>K29*0.1</f>
        <v>15</v>
      </c>
      <c r="M29" s="94">
        <f t="shared" si="8"/>
        <v>16.5</v>
      </c>
    </row>
    <row r="30" spans="1:14" ht="15" customHeight="1">
      <c r="A30" s="134"/>
      <c r="B30" s="134"/>
      <c r="C30" s="94">
        <v>3</v>
      </c>
      <c r="D30" s="58" t="s">
        <v>90</v>
      </c>
      <c r="E30" s="55"/>
      <c r="F30" s="94"/>
      <c r="G30" s="94"/>
      <c r="H30" s="94">
        <v>50</v>
      </c>
      <c r="I30" s="56"/>
      <c r="J30" s="57">
        <f t="shared" si="6"/>
        <v>50</v>
      </c>
      <c r="K30" s="94">
        <f t="shared" si="7"/>
        <v>150</v>
      </c>
      <c r="L30" s="84">
        <f>K30*0.12</f>
        <v>18</v>
      </c>
      <c r="M30" s="94">
        <f t="shared" si="8"/>
        <v>19.5</v>
      </c>
    </row>
    <row r="31" spans="1:14" ht="15" customHeight="1">
      <c r="A31" s="134"/>
      <c r="B31" s="134"/>
      <c r="C31" s="94">
        <v>1</v>
      </c>
      <c r="D31" s="58" t="s">
        <v>91</v>
      </c>
      <c r="E31" s="55"/>
      <c r="F31" s="94"/>
      <c r="G31" s="94"/>
      <c r="H31" s="94"/>
      <c r="I31" s="56">
        <v>50</v>
      </c>
      <c r="J31" s="57">
        <f t="shared" si="6"/>
        <v>50</v>
      </c>
      <c r="K31" s="94">
        <f t="shared" si="7"/>
        <v>50</v>
      </c>
      <c r="L31" s="94">
        <f>K31*0.125</f>
        <v>6.25</v>
      </c>
      <c r="M31" s="94">
        <f t="shared" si="8"/>
        <v>7.75</v>
      </c>
    </row>
    <row r="32" spans="1:14" ht="15" customHeight="1">
      <c r="A32" s="135"/>
      <c r="B32" s="135"/>
      <c r="C32" s="94">
        <v>1</v>
      </c>
      <c r="D32" s="58" t="s">
        <v>92</v>
      </c>
      <c r="E32" s="55"/>
      <c r="F32" s="94">
        <v>22</v>
      </c>
      <c r="G32" s="94">
        <v>11</v>
      </c>
      <c r="H32" s="94">
        <v>13</v>
      </c>
      <c r="I32" s="56">
        <v>1</v>
      </c>
      <c r="J32" s="57">
        <f t="shared" si="6"/>
        <v>47</v>
      </c>
      <c r="K32" s="94">
        <f t="shared" si="7"/>
        <v>47</v>
      </c>
      <c r="L32" s="94">
        <f>K32*0.09</f>
        <v>4.2299999999999995</v>
      </c>
      <c r="M32" s="94">
        <f t="shared" si="8"/>
        <v>5.7299999999999995</v>
      </c>
    </row>
    <row r="33" spans="1:13" ht="15" customHeight="1">
      <c r="A33" s="46" t="s">
        <v>0</v>
      </c>
      <c r="B33" s="46"/>
      <c r="C33" s="68">
        <f>SUM(C27:C32)</f>
        <v>11</v>
      </c>
      <c r="D33" s="46"/>
      <c r="E33" s="46"/>
      <c r="F33" s="46"/>
      <c r="G33" s="46"/>
      <c r="H33" s="46"/>
      <c r="I33" s="46"/>
      <c r="J33" s="46"/>
      <c r="K33" s="73">
        <f>SUM(K27:K32)</f>
        <v>545</v>
      </c>
      <c r="L33" s="83">
        <f>SUM(L27:L32)</f>
        <v>56.8</v>
      </c>
      <c r="M33" s="83">
        <f>SUM(M28:M32)</f>
        <v>59.98</v>
      </c>
    </row>
    <row r="34" spans="1:13" ht="15" customHeight="1">
      <c r="A34" s="107"/>
      <c r="B34" s="107"/>
      <c r="C34" s="108"/>
      <c r="D34" s="107"/>
      <c r="E34" s="107"/>
      <c r="F34" s="107"/>
      <c r="G34" s="107"/>
      <c r="H34" s="107"/>
      <c r="I34" s="107"/>
      <c r="J34" s="107"/>
      <c r="K34" s="109"/>
      <c r="L34" s="31"/>
      <c r="M34" s="31"/>
    </row>
    <row r="35" spans="1:13" ht="12" customHeight="1">
      <c r="A35" s="126"/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</row>
    <row r="36" spans="1:13" ht="19.5" customHeight="1">
      <c r="A36" s="125" t="s">
        <v>142</v>
      </c>
      <c r="B36" s="125"/>
      <c r="C36" s="94">
        <v>1</v>
      </c>
      <c r="D36" s="44" t="s">
        <v>93</v>
      </c>
      <c r="E36" s="94">
        <v>50</v>
      </c>
      <c r="F36" s="94"/>
      <c r="G36" s="94"/>
      <c r="H36" s="94"/>
      <c r="I36" s="94"/>
      <c r="J36" s="94">
        <f t="shared" ref="J36:J41" si="9">SUM(E36:I36)</f>
        <v>50</v>
      </c>
      <c r="K36" s="94">
        <f t="shared" ref="K36:K41" si="10">J36*C36</f>
        <v>50</v>
      </c>
      <c r="L36" s="84">
        <f>K36*0.09</f>
        <v>4.5</v>
      </c>
      <c r="M36" s="94">
        <f t="shared" ref="M36:M41" si="11">L36+1.5</f>
        <v>6</v>
      </c>
    </row>
    <row r="37" spans="1:13" ht="15" customHeight="1">
      <c r="A37" s="125"/>
      <c r="B37" s="125"/>
      <c r="C37" s="94">
        <v>2</v>
      </c>
      <c r="D37" s="44" t="s">
        <v>94</v>
      </c>
      <c r="E37" s="94"/>
      <c r="F37" s="94">
        <v>50</v>
      </c>
      <c r="G37" s="94"/>
      <c r="H37" s="94"/>
      <c r="I37" s="94"/>
      <c r="J37" s="94">
        <f t="shared" si="9"/>
        <v>50</v>
      </c>
      <c r="K37" s="94">
        <f t="shared" si="10"/>
        <v>100</v>
      </c>
      <c r="L37" s="84">
        <f>K37*0.09</f>
        <v>9</v>
      </c>
      <c r="M37" s="94">
        <f t="shared" si="11"/>
        <v>10.5</v>
      </c>
    </row>
    <row r="38" spans="1:13" ht="15" customHeight="1">
      <c r="A38" s="125"/>
      <c r="B38" s="125"/>
      <c r="C38" s="94">
        <v>3</v>
      </c>
      <c r="D38" s="44" t="s">
        <v>95</v>
      </c>
      <c r="E38" s="94"/>
      <c r="F38" s="94"/>
      <c r="G38" s="94">
        <v>50</v>
      </c>
      <c r="H38" s="94"/>
      <c r="I38" s="94"/>
      <c r="J38" s="94">
        <f t="shared" si="9"/>
        <v>50</v>
      </c>
      <c r="K38" s="94">
        <f t="shared" si="10"/>
        <v>150</v>
      </c>
      <c r="L38" s="84">
        <f>K38*0.1</f>
        <v>15</v>
      </c>
      <c r="M38" s="94">
        <f t="shared" si="11"/>
        <v>16.5</v>
      </c>
    </row>
    <row r="39" spans="1:13" ht="15" customHeight="1">
      <c r="A39" s="125"/>
      <c r="B39" s="125"/>
      <c r="C39" s="94">
        <v>3</v>
      </c>
      <c r="D39" s="44" t="s">
        <v>96</v>
      </c>
      <c r="E39" s="94"/>
      <c r="F39" s="94"/>
      <c r="G39" s="94"/>
      <c r="H39" s="94">
        <v>50</v>
      </c>
      <c r="I39" s="94"/>
      <c r="J39" s="94">
        <f t="shared" si="9"/>
        <v>50</v>
      </c>
      <c r="K39" s="94">
        <f t="shared" si="10"/>
        <v>150</v>
      </c>
      <c r="L39" s="84">
        <f>K39*0.12</f>
        <v>18</v>
      </c>
      <c r="M39" s="94">
        <f t="shared" si="11"/>
        <v>19.5</v>
      </c>
    </row>
    <row r="40" spans="1:13" ht="15" customHeight="1">
      <c r="A40" s="125"/>
      <c r="B40" s="125"/>
      <c r="C40" s="94">
        <v>1</v>
      </c>
      <c r="D40" s="44" t="s">
        <v>97</v>
      </c>
      <c r="E40" s="94"/>
      <c r="F40" s="94"/>
      <c r="G40" s="94"/>
      <c r="H40" s="94"/>
      <c r="I40" s="94">
        <v>49</v>
      </c>
      <c r="J40" s="94">
        <f t="shared" si="9"/>
        <v>49</v>
      </c>
      <c r="K40" s="94">
        <f t="shared" si="10"/>
        <v>49</v>
      </c>
      <c r="L40" s="84">
        <f>K40*0.125</f>
        <v>6.125</v>
      </c>
      <c r="M40" s="84">
        <f t="shared" si="11"/>
        <v>7.625</v>
      </c>
    </row>
    <row r="41" spans="1:13" ht="15" customHeight="1">
      <c r="A41" s="125"/>
      <c r="B41" s="125"/>
      <c r="C41" s="94">
        <v>1</v>
      </c>
      <c r="D41" s="44" t="s">
        <v>98</v>
      </c>
      <c r="E41" s="94"/>
      <c r="F41" s="94">
        <v>27</v>
      </c>
      <c r="G41" s="94">
        <v>13</v>
      </c>
      <c r="H41" s="94">
        <v>1</v>
      </c>
      <c r="I41" s="94"/>
      <c r="J41" s="94">
        <f t="shared" si="9"/>
        <v>41</v>
      </c>
      <c r="K41" s="94">
        <f t="shared" si="10"/>
        <v>41</v>
      </c>
      <c r="L41" s="84">
        <f>K41*0.1</f>
        <v>4.1000000000000005</v>
      </c>
      <c r="M41" s="94">
        <f t="shared" si="11"/>
        <v>5.6000000000000005</v>
      </c>
    </row>
    <row r="42" spans="1:13" ht="15" customHeight="1">
      <c r="A42" s="64" t="s">
        <v>0</v>
      </c>
      <c r="B42" s="64"/>
      <c r="C42" s="77">
        <f>SUM(C36:C41)</f>
        <v>11</v>
      </c>
      <c r="D42" s="64"/>
      <c r="E42" s="64"/>
      <c r="F42" s="64"/>
      <c r="G42" s="64"/>
      <c r="H42" s="64"/>
      <c r="I42" s="64"/>
      <c r="J42" s="64"/>
      <c r="K42" s="79">
        <f>SUM(K36:K41)</f>
        <v>540</v>
      </c>
      <c r="L42" s="93">
        <f>SUM(L36:L41)</f>
        <v>56.725000000000001</v>
      </c>
      <c r="M42" s="93">
        <f>SUM(M36:M41)</f>
        <v>65.724999999999994</v>
      </c>
    </row>
    <row r="43" spans="1:13" ht="21.75" customHeight="1" thickBot="1">
      <c r="A43" s="47"/>
      <c r="B43" s="47"/>
      <c r="C43" s="47"/>
      <c r="D43" s="47"/>
      <c r="E43" s="47"/>
    </row>
    <row r="44" spans="1:13" ht="22.5" customHeight="1">
      <c r="A44" s="133" t="s">
        <v>143</v>
      </c>
      <c r="B44" s="133"/>
      <c r="C44" s="94">
        <v>1</v>
      </c>
      <c r="D44" s="49" t="s">
        <v>99</v>
      </c>
      <c r="E44" s="50">
        <v>48</v>
      </c>
      <c r="F44" s="51"/>
      <c r="G44" s="51"/>
      <c r="H44" s="51"/>
      <c r="I44" s="52"/>
      <c r="J44" s="53">
        <f t="shared" ref="J44:J49" si="12">SUM(E44:I44)</f>
        <v>48</v>
      </c>
      <c r="K44" s="44">
        <f t="shared" ref="K44:K49" si="13">J44*C44</f>
        <v>48</v>
      </c>
      <c r="L44" s="94">
        <f>K44*0.09</f>
        <v>4.32</v>
      </c>
      <c r="M44" s="94">
        <f t="shared" ref="M44:M49" si="14">L44+1.5</f>
        <v>5.82</v>
      </c>
    </row>
    <row r="45" spans="1:13" ht="15" customHeight="1">
      <c r="A45" s="134"/>
      <c r="B45" s="134"/>
      <c r="C45" s="94">
        <v>2</v>
      </c>
      <c r="D45" s="54" t="s">
        <v>66</v>
      </c>
      <c r="E45" s="55"/>
      <c r="F45" s="94">
        <v>50</v>
      </c>
      <c r="G45" s="94"/>
      <c r="H45" s="94"/>
      <c r="I45" s="56"/>
      <c r="J45" s="53">
        <f t="shared" si="12"/>
        <v>50</v>
      </c>
      <c r="K45" s="44">
        <f t="shared" si="13"/>
        <v>100</v>
      </c>
      <c r="L45" s="84">
        <f>K45*0.09</f>
        <v>9</v>
      </c>
      <c r="M45" s="94">
        <f t="shared" si="14"/>
        <v>10.5</v>
      </c>
    </row>
    <row r="46" spans="1:13" ht="15" customHeight="1">
      <c r="A46" s="134"/>
      <c r="B46" s="134"/>
      <c r="C46" s="94">
        <v>3</v>
      </c>
      <c r="D46" s="58" t="s">
        <v>100</v>
      </c>
      <c r="E46" s="55"/>
      <c r="F46" s="94"/>
      <c r="G46" s="94">
        <v>50</v>
      </c>
      <c r="H46" s="94"/>
      <c r="I46" s="56"/>
      <c r="J46" s="53">
        <f t="shared" si="12"/>
        <v>50</v>
      </c>
      <c r="K46" s="44">
        <f t="shared" si="13"/>
        <v>150</v>
      </c>
      <c r="L46" s="84">
        <f>K46*0.1</f>
        <v>15</v>
      </c>
      <c r="M46" s="94">
        <f t="shared" si="14"/>
        <v>16.5</v>
      </c>
    </row>
    <row r="47" spans="1:13" ht="15" customHeight="1">
      <c r="A47" s="134"/>
      <c r="B47" s="134"/>
      <c r="C47" s="94">
        <v>3</v>
      </c>
      <c r="D47" s="58" t="s">
        <v>101</v>
      </c>
      <c r="E47" s="55"/>
      <c r="F47" s="94"/>
      <c r="G47" s="94"/>
      <c r="H47" s="94">
        <v>50</v>
      </c>
      <c r="I47" s="56"/>
      <c r="J47" s="53">
        <f t="shared" si="12"/>
        <v>50</v>
      </c>
      <c r="K47" s="44">
        <f t="shared" si="13"/>
        <v>150</v>
      </c>
      <c r="L47" s="94">
        <f>K47*0.12</f>
        <v>18</v>
      </c>
      <c r="M47" s="94">
        <f t="shared" si="14"/>
        <v>19.5</v>
      </c>
    </row>
    <row r="48" spans="1:13" ht="15" customHeight="1">
      <c r="A48" s="134"/>
      <c r="B48" s="134"/>
      <c r="C48" s="94">
        <v>1</v>
      </c>
      <c r="D48" s="58" t="s">
        <v>102</v>
      </c>
      <c r="E48" s="55"/>
      <c r="F48" s="94"/>
      <c r="G48" s="94"/>
      <c r="H48" s="94"/>
      <c r="I48" s="56">
        <v>48</v>
      </c>
      <c r="J48" s="53">
        <f t="shared" si="12"/>
        <v>48</v>
      </c>
      <c r="K48" s="44">
        <f t="shared" si="13"/>
        <v>48</v>
      </c>
      <c r="L48" s="94">
        <f>K48*0.125</f>
        <v>6</v>
      </c>
      <c r="M48" s="94">
        <f t="shared" si="14"/>
        <v>7.5</v>
      </c>
    </row>
    <row r="49" spans="1:13" ht="15" customHeight="1" thickBot="1">
      <c r="A49" s="135"/>
      <c r="B49" s="135"/>
      <c r="C49" s="94">
        <v>1</v>
      </c>
      <c r="D49" s="58" t="s">
        <v>103</v>
      </c>
      <c r="E49" s="59"/>
      <c r="F49" s="60">
        <v>26</v>
      </c>
      <c r="G49" s="60">
        <v>15</v>
      </c>
      <c r="H49" s="60">
        <v>7</v>
      </c>
      <c r="I49" s="61"/>
      <c r="J49" s="53">
        <f t="shared" si="12"/>
        <v>48</v>
      </c>
      <c r="K49" s="44">
        <f t="shared" si="13"/>
        <v>48</v>
      </c>
      <c r="L49" s="94">
        <f>K49*0.09</f>
        <v>4.32</v>
      </c>
      <c r="M49" s="94">
        <f t="shared" si="14"/>
        <v>5.82</v>
      </c>
    </row>
    <row r="50" spans="1:13" ht="15" customHeight="1">
      <c r="A50" s="94" t="s">
        <v>0</v>
      </c>
      <c r="B50" s="94"/>
      <c r="C50" s="69">
        <f>SUM(C44:C49)</f>
        <v>11</v>
      </c>
      <c r="D50" s="94"/>
      <c r="E50" s="62"/>
      <c r="F50" s="62"/>
      <c r="G50" s="62"/>
      <c r="H50" s="62"/>
      <c r="I50" s="62"/>
      <c r="J50" s="94"/>
      <c r="K50" s="83">
        <f>SUM(K44:K49)</f>
        <v>544</v>
      </c>
      <c r="L50" s="83">
        <f>SUM(L44:L49)</f>
        <v>56.64</v>
      </c>
      <c r="M50" s="83">
        <f>SUM(M44:M49)</f>
        <v>65.64</v>
      </c>
    </row>
    <row r="51" spans="1:13" ht="12" customHeight="1"/>
    <row r="52" spans="1:13" ht="12" customHeight="1"/>
    <row r="53" spans="1:13" ht="12" customHeight="1"/>
    <row r="54" spans="1:13" ht="12" customHeight="1"/>
    <row r="55" spans="1:13" ht="12" customHeight="1"/>
    <row r="56" spans="1:13" ht="12" customHeight="1"/>
    <row r="57" spans="1:13" ht="12" customHeight="1"/>
    <row r="58" spans="1:13" ht="12" customHeight="1"/>
    <row r="59" spans="1:13" ht="12" customHeight="1" thickBot="1"/>
    <row r="60" spans="1:13" ht="27" customHeight="1">
      <c r="A60" s="133" t="s">
        <v>144</v>
      </c>
      <c r="B60" s="133"/>
      <c r="C60" s="94">
        <v>1</v>
      </c>
      <c r="D60" s="58" t="s">
        <v>104</v>
      </c>
      <c r="E60" s="50">
        <v>45</v>
      </c>
      <c r="F60" s="51"/>
      <c r="G60" s="51"/>
      <c r="H60" s="51"/>
      <c r="I60" s="52"/>
      <c r="J60" s="57">
        <f t="shared" ref="J60:J65" si="15">SUM(E60:I60)</f>
        <v>45</v>
      </c>
      <c r="K60" s="94">
        <f t="shared" ref="K60:K65" si="16">J60*C60</f>
        <v>45</v>
      </c>
      <c r="L60" s="94">
        <f>K60*0.09</f>
        <v>4.05</v>
      </c>
      <c r="M60" s="94">
        <f t="shared" ref="M60:M65" si="17">L60+1.5</f>
        <v>5.55</v>
      </c>
    </row>
    <row r="61" spans="1:13" ht="15" customHeight="1">
      <c r="A61" s="134"/>
      <c r="B61" s="134"/>
      <c r="C61" s="94">
        <v>2</v>
      </c>
      <c r="D61" s="58" t="s">
        <v>105</v>
      </c>
      <c r="E61" s="89"/>
      <c r="F61" s="62">
        <v>50</v>
      </c>
      <c r="G61" s="62"/>
      <c r="H61" s="62"/>
      <c r="I61" s="90"/>
      <c r="J61" s="57">
        <f t="shared" si="15"/>
        <v>50</v>
      </c>
      <c r="K61" s="94">
        <f t="shared" si="16"/>
        <v>100</v>
      </c>
      <c r="L61" s="84">
        <f>K61*0.09</f>
        <v>9</v>
      </c>
      <c r="M61" s="94">
        <f t="shared" si="17"/>
        <v>10.5</v>
      </c>
    </row>
    <row r="62" spans="1:13" ht="15" customHeight="1">
      <c r="A62" s="134"/>
      <c r="B62" s="134"/>
      <c r="C62" s="94">
        <v>3</v>
      </c>
      <c r="D62" s="58" t="s">
        <v>106</v>
      </c>
      <c r="E62" s="89"/>
      <c r="F62" s="62"/>
      <c r="G62" s="62">
        <v>50</v>
      </c>
      <c r="H62" s="62"/>
      <c r="I62" s="90"/>
      <c r="J62" s="57">
        <f t="shared" si="15"/>
        <v>50</v>
      </c>
      <c r="K62" s="94">
        <f t="shared" si="16"/>
        <v>150</v>
      </c>
      <c r="L62" s="84">
        <f>K62*0.1</f>
        <v>15</v>
      </c>
      <c r="M62" s="94">
        <f t="shared" si="17"/>
        <v>16.5</v>
      </c>
    </row>
    <row r="63" spans="1:13" ht="15" customHeight="1">
      <c r="A63" s="134"/>
      <c r="B63" s="134"/>
      <c r="C63" s="94">
        <v>3</v>
      </c>
      <c r="D63" s="54" t="s">
        <v>107</v>
      </c>
      <c r="E63" s="55"/>
      <c r="F63" s="94"/>
      <c r="G63" s="94"/>
      <c r="H63" s="94">
        <v>50</v>
      </c>
      <c r="I63" s="56"/>
      <c r="J63" s="57">
        <f t="shared" si="15"/>
        <v>50</v>
      </c>
      <c r="K63" s="94">
        <f t="shared" si="16"/>
        <v>150</v>
      </c>
      <c r="L63" s="84">
        <f>K63*0.12</f>
        <v>18</v>
      </c>
      <c r="M63" s="94">
        <f t="shared" si="17"/>
        <v>19.5</v>
      </c>
    </row>
    <row r="64" spans="1:13" ht="15" customHeight="1">
      <c r="A64" s="134"/>
      <c r="B64" s="134"/>
      <c r="C64" s="94">
        <v>1</v>
      </c>
      <c r="D64" s="58" t="s">
        <v>108</v>
      </c>
      <c r="E64" s="55"/>
      <c r="F64" s="94"/>
      <c r="G64" s="94"/>
      <c r="H64" s="94"/>
      <c r="I64" s="56">
        <v>49</v>
      </c>
      <c r="J64" s="57">
        <f t="shared" si="15"/>
        <v>49</v>
      </c>
      <c r="K64" s="94">
        <f t="shared" si="16"/>
        <v>49</v>
      </c>
      <c r="L64" s="84">
        <f>K64*0.125</f>
        <v>6.125</v>
      </c>
      <c r="M64" s="94">
        <f t="shared" si="17"/>
        <v>7.625</v>
      </c>
    </row>
    <row r="65" spans="1:13" ht="15" customHeight="1" thickBot="1">
      <c r="A65" s="135"/>
      <c r="B65" s="135"/>
      <c r="C65" s="94">
        <v>1</v>
      </c>
      <c r="D65" s="58" t="s">
        <v>109</v>
      </c>
      <c r="E65" s="59"/>
      <c r="F65" s="60">
        <v>29</v>
      </c>
      <c r="G65" s="60">
        <v>6</v>
      </c>
      <c r="H65" s="60">
        <v>8</v>
      </c>
      <c r="I65" s="61"/>
      <c r="J65" s="57">
        <f t="shared" si="15"/>
        <v>43</v>
      </c>
      <c r="K65" s="94">
        <f t="shared" si="16"/>
        <v>43</v>
      </c>
      <c r="L65" s="94">
        <f>K65*0.09</f>
        <v>3.8699999999999997</v>
      </c>
      <c r="M65" s="94">
        <f t="shared" si="17"/>
        <v>5.3699999999999992</v>
      </c>
    </row>
    <row r="66" spans="1:13" ht="15" customHeight="1" thickBot="1">
      <c r="A66" s="46" t="s">
        <v>0</v>
      </c>
      <c r="B66" s="46"/>
      <c r="C66" s="68">
        <f>SUM(C60:C65)</f>
        <v>11</v>
      </c>
      <c r="D66" s="46"/>
      <c r="E66" s="65"/>
      <c r="F66" s="65"/>
      <c r="G66" s="65"/>
      <c r="H66" s="65"/>
      <c r="I66" s="65"/>
      <c r="J66" s="46"/>
      <c r="K66" s="73">
        <f>SUM(K60:K65)</f>
        <v>537</v>
      </c>
      <c r="L66" s="88">
        <f>SUM(L60:L65)</f>
        <v>56.044999999999995</v>
      </c>
      <c r="M66" s="88">
        <f>SUM(M60:M65)</f>
        <v>65.045000000000002</v>
      </c>
    </row>
    <row r="67" spans="1:13" ht="19.5" customHeight="1">
      <c r="A67" s="133" t="s">
        <v>145</v>
      </c>
      <c r="B67" s="133"/>
      <c r="C67" s="94">
        <v>1</v>
      </c>
      <c r="D67" s="58" t="s">
        <v>110</v>
      </c>
      <c r="E67" s="50">
        <v>47</v>
      </c>
      <c r="F67" s="51"/>
      <c r="G67" s="51"/>
      <c r="H67" s="51"/>
      <c r="I67" s="52"/>
      <c r="J67" s="57">
        <f t="shared" ref="J67:J72" si="18">SUM(E67:I67)</f>
        <v>47</v>
      </c>
      <c r="K67" s="94">
        <f t="shared" ref="K67:K72" si="19">J67*C67</f>
        <v>47</v>
      </c>
      <c r="L67" s="94">
        <f>K67*0.09</f>
        <v>4.2299999999999995</v>
      </c>
      <c r="M67" s="94">
        <f t="shared" ref="M67:M72" si="20">L67+1.5</f>
        <v>5.7299999999999995</v>
      </c>
    </row>
    <row r="68" spans="1:13" ht="15" customHeight="1">
      <c r="A68" s="134"/>
      <c r="B68" s="134"/>
      <c r="C68" s="94">
        <v>2</v>
      </c>
      <c r="D68" s="58" t="s">
        <v>111</v>
      </c>
      <c r="E68" s="55"/>
      <c r="F68" s="94">
        <v>50</v>
      </c>
      <c r="G68" s="94"/>
      <c r="H68" s="94"/>
      <c r="I68" s="56"/>
      <c r="J68" s="57">
        <f t="shared" si="18"/>
        <v>50</v>
      </c>
      <c r="K68" s="94">
        <f t="shared" si="19"/>
        <v>100</v>
      </c>
      <c r="L68" s="84">
        <f>K68*0.09</f>
        <v>9</v>
      </c>
      <c r="M68" s="94">
        <f t="shared" si="20"/>
        <v>10.5</v>
      </c>
    </row>
    <row r="69" spans="1:13" ht="15" customHeight="1">
      <c r="A69" s="134"/>
      <c r="B69" s="134"/>
      <c r="C69" s="94">
        <v>3</v>
      </c>
      <c r="D69" s="58" t="s">
        <v>112</v>
      </c>
      <c r="E69" s="55"/>
      <c r="F69" s="94"/>
      <c r="G69" s="94">
        <v>50</v>
      </c>
      <c r="H69" s="94"/>
      <c r="I69" s="56"/>
      <c r="J69" s="57">
        <f t="shared" si="18"/>
        <v>50</v>
      </c>
      <c r="K69" s="94">
        <f t="shared" si="19"/>
        <v>150</v>
      </c>
      <c r="L69" s="84">
        <f>K69*0.1</f>
        <v>15</v>
      </c>
      <c r="M69" s="94">
        <f t="shared" si="20"/>
        <v>16.5</v>
      </c>
    </row>
    <row r="70" spans="1:13" ht="15" customHeight="1">
      <c r="A70" s="134"/>
      <c r="B70" s="134"/>
      <c r="C70" s="94">
        <v>3</v>
      </c>
      <c r="D70" s="58" t="s">
        <v>113</v>
      </c>
      <c r="E70" s="55"/>
      <c r="F70" s="94"/>
      <c r="G70" s="94"/>
      <c r="H70" s="94">
        <v>50</v>
      </c>
      <c r="I70" s="56"/>
      <c r="J70" s="57">
        <f t="shared" si="18"/>
        <v>50</v>
      </c>
      <c r="K70" s="94">
        <f t="shared" si="19"/>
        <v>150</v>
      </c>
      <c r="L70" s="84">
        <f>K70*0.12</f>
        <v>18</v>
      </c>
      <c r="M70" s="94">
        <f t="shared" si="20"/>
        <v>19.5</v>
      </c>
    </row>
    <row r="71" spans="1:13" ht="15" customHeight="1">
      <c r="A71" s="134"/>
      <c r="B71" s="134"/>
      <c r="C71" s="94">
        <v>1</v>
      </c>
      <c r="D71" s="58" t="s">
        <v>114</v>
      </c>
      <c r="E71" s="55"/>
      <c r="F71" s="94"/>
      <c r="G71" s="94"/>
      <c r="H71" s="94"/>
      <c r="I71" s="56">
        <v>47</v>
      </c>
      <c r="J71" s="57">
        <f t="shared" si="18"/>
        <v>47</v>
      </c>
      <c r="K71" s="94">
        <f t="shared" si="19"/>
        <v>47</v>
      </c>
      <c r="L71" s="84">
        <f>K71*0.125</f>
        <v>5.875</v>
      </c>
      <c r="M71" s="94">
        <f t="shared" si="20"/>
        <v>7.375</v>
      </c>
    </row>
    <row r="72" spans="1:13" ht="15" customHeight="1" thickBot="1">
      <c r="A72" s="135"/>
      <c r="B72" s="135"/>
      <c r="C72" s="94">
        <v>1</v>
      </c>
      <c r="D72" s="58" t="s">
        <v>115</v>
      </c>
      <c r="E72" s="59"/>
      <c r="F72" s="60">
        <v>23</v>
      </c>
      <c r="G72" s="60">
        <v>10</v>
      </c>
      <c r="H72" s="60">
        <v>5</v>
      </c>
      <c r="I72" s="61"/>
      <c r="J72" s="57">
        <f t="shared" si="18"/>
        <v>38</v>
      </c>
      <c r="K72" s="94">
        <f t="shared" si="19"/>
        <v>38</v>
      </c>
      <c r="L72" s="94">
        <f>K72*0.09</f>
        <v>3.42</v>
      </c>
      <c r="M72" s="94">
        <f t="shared" si="20"/>
        <v>4.92</v>
      </c>
    </row>
    <row r="73" spans="1:13" ht="15" customHeight="1" thickBot="1">
      <c r="A73" s="80" t="s">
        <v>0</v>
      </c>
      <c r="B73" s="80"/>
      <c r="C73" s="81">
        <f>SUM(C67:C72)</f>
        <v>11</v>
      </c>
      <c r="D73" s="80"/>
      <c r="E73" s="91"/>
      <c r="F73" s="91"/>
      <c r="G73" s="91"/>
      <c r="H73" s="91"/>
      <c r="I73" s="91"/>
      <c r="J73" s="80"/>
      <c r="K73" s="82">
        <f>SUM(K67:K72)</f>
        <v>532</v>
      </c>
      <c r="L73" s="92">
        <f>SUM(L67:L72)</f>
        <v>55.525000000000006</v>
      </c>
      <c r="M73" s="92">
        <f>SUM(M67:M72)</f>
        <v>64.525000000000006</v>
      </c>
    </row>
    <row r="74" spans="1:13" ht="24" customHeight="1">
      <c r="A74" s="140" t="s">
        <v>147</v>
      </c>
      <c r="B74" s="140"/>
      <c r="C74" s="94">
        <v>1</v>
      </c>
      <c r="D74" s="58" t="s">
        <v>116</v>
      </c>
      <c r="E74" s="50">
        <v>50</v>
      </c>
      <c r="F74" s="51"/>
      <c r="G74" s="51"/>
      <c r="H74" s="51"/>
      <c r="I74" s="52"/>
      <c r="J74" s="57">
        <f t="shared" ref="J74:J79" si="21">SUM(E74:I74)</f>
        <v>50</v>
      </c>
      <c r="K74" s="94">
        <f t="shared" ref="K74:K79" si="22">J74*C74</f>
        <v>50</v>
      </c>
      <c r="L74" s="94">
        <f>K74*0.09</f>
        <v>4.5</v>
      </c>
      <c r="M74" s="94">
        <f t="shared" ref="M74:M79" si="23">L74+1.5</f>
        <v>6</v>
      </c>
    </row>
    <row r="75" spans="1:13" ht="15" customHeight="1">
      <c r="A75" s="134"/>
      <c r="B75" s="134"/>
      <c r="C75" s="94">
        <v>2</v>
      </c>
      <c r="D75" s="58" t="s">
        <v>117</v>
      </c>
      <c r="E75" s="55"/>
      <c r="F75" s="94">
        <v>50</v>
      </c>
      <c r="G75" s="94"/>
      <c r="H75" s="94"/>
      <c r="I75" s="56"/>
      <c r="J75" s="57">
        <f t="shared" si="21"/>
        <v>50</v>
      </c>
      <c r="K75" s="94">
        <f t="shared" si="22"/>
        <v>100</v>
      </c>
      <c r="L75" s="84">
        <f>K75*0.09</f>
        <v>9</v>
      </c>
      <c r="M75" s="94">
        <f t="shared" si="23"/>
        <v>10.5</v>
      </c>
    </row>
    <row r="76" spans="1:13" ht="15" customHeight="1">
      <c r="A76" s="134"/>
      <c r="B76" s="134"/>
      <c r="C76" s="94">
        <v>3</v>
      </c>
      <c r="D76" s="58" t="s">
        <v>118</v>
      </c>
      <c r="E76" s="55"/>
      <c r="F76" s="94"/>
      <c r="G76" s="94">
        <v>50</v>
      </c>
      <c r="H76" s="94"/>
      <c r="I76" s="56"/>
      <c r="J76" s="57">
        <f t="shared" si="21"/>
        <v>50</v>
      </c>
      <c r="K76" s="94">
        <f t="shared" si="22"/>
        <v>150</v>
      </c>
      <c r="L76" s="84">
        <f>K76*0.1</f>
        <v>15</v>
      </c>
      <c r="M76" s="94">
        <f t="shared" si="23"/>
        <v>16.5</v>
      </c>
    </row>
    <row r="77" spans="1:13" ht="15" customHeight="1">
      <c r="A77" s="134"/>
      <c r="B77" s="134"/>
      <c r="C77" s="94">
        <v>3</v>
      </c>
      <c r="D77" s="58" t="s">
        <v>119</v>
      </c>
      <c r="E77" s="55"/>
      <c r="F77" s="94"/>
      <c r="G77" s="94"/>
      <c r="H77" s="94">
        <v>50</v>
      </c>
      <c r="I77" s="56"/>
      <c r="J77" s="57">
        <f t="shared" si="21"/>
        <v>50</v>
      </c>
      <c r="K77" s="94">
        <f t="shared" si="22"/>
        <v>150</v>
      </c>
      <c r="L77" s="84">
        <f>K77*0.12</f>
        <v>18</v>
      </c>
      <c r="M77" s="94">
        <f t="shared" si="23"/>
        <v>19.5</v>
      </c>
    </row>
    <row r="78" spans="1:13" ht="15" customHeight="1">
      <c r="A78" s="134"/>
      <c r="B78" s="134"/>
      <c r="C78" s="94">
        <v>1</v>
      </c>
      <c r="D78" s="58" t="s">
        <v>120</v>
      </c>
      <c r="E78" s="55"/>
      <c r="F78" s="94"/>
      <c r="G78" s="94"/>
      <c r="H78" s="94"/>
      <c r="I78" s="56">
        <v>49</v>
      </c>
      <c r="J78" s="57">
        <f t="shared" si="21"/>
        <v>49</v>
      </c>
      <c r="K78" s="94">
        <f t="shared" si="22"/>
        <v>49</v>
      </c>
      <c r="L78" s="84">
        <f>K78*0.125</f>
        <v>6.125</v>
      </c>
      <c r="M78" s="94">
        <f t="shared" si="23"/>
        <v>7.625</v>
      </c>
    </row>
    <row r="79" spans="1:13" ht="15" customHeight="1" thickBot="1">
      <c r="A79" s="135"/>
      <c r="B79" s="135"/>
      <c r="C79" s="94">
        <v>1</v>
      </c>
      <c r="D79" s="58" t="s">
        <v>121</v>
      </c>
      <c r="E79" s="59">
        <v>1</v>
      </c>
      <c r="F79" s="60">
        <v>14</v>
      </c>
      <c r="G79" s="60">
        <v>6</v>
      </c>
      <c r="H79" s="60">
        <v>10</v>
      </c>
      <c r="I79" s="61"/>
      <c r="J79" s="57">
        <f t="shared" si="21"/>
        <v>31</v>
      </c>
      <c r="K79" s="94">
        <f t="shared" si="22"/>
        <v>31</v>
      </c>
      <c r="L79" s="94">
        <f>K79*0.09</f>
        <v>2.79</v>
      </c>
      <c r="M79" s="94">
        <f t="shared" si="23"/>
        <v>4.29</v>
      </c>
    </row>
    <row r="80" spans="1:13" ht="15" customHeight="1" thickBot="1">
      <c r="A80" s="80" t="s">
        <v>0</v>
      </c>
      <c r="B80" s="80"/>
      <c r="C80" s="81">
        <f>SUM(C74:C79)</f>
        <v>11</v>
      </c>
      <c r="D80" s="80"/>
      <c r="E80" s="91"/>
      <c r="F80" s="91"/>
      <c r="G80" s="91"/>
      <c r="H80" s="91"/>
      <c r="I80" s="91"/>
      <c r="J80" s="80"/>
      <c r="K80" s="82">
        <f>SUM(K74:K79)</f>
        <v>530</v>
      </c>
      <c r="L80" s="92">
        <f>SUM(L74:L79)</f>
        <v>55.414999999999999</v>
      </c>
      <c r="M80" s="92">
        <f>SUM(M74:M79)</f>
        <v>64.415000000000006</v>
      </c>
    </row>
    <row r="81" spans="1:13" ht="27" customHeight="1">
      <c r="A81" s="140" t="s">
        <v>148</v>
      </c>
      <c r="B81" s="140"/>
      <c r="C81" s="94">
        <v>1</v>
      </c>
      <c r="D81" s="58" t="s">
        <v>122</v>
      </c>
      <c r="E81" s="50">
        <v>48</v>
      </c>
      <c r="F81" s="51"/>
      <c r="G81" s="51"/>
      <c r="H81" s="51"/>
      <c r="I81" s="52"/>
      <c r="J81" s="57">
        <f t="shared" ref="J81:J86" si="24">SUM(E81:I81)</f>
        <v>48</v>
      </c>
      <c r="K81" s="94">
        <f t="shared" ref="K81:K86" si="25">J81*C81</f>
        <v>48</v>
      </c>
      <c r="L81" s="94">
        <f>K81*0.09</f>
        <v>4.32</v>
      </c>
      <c r="M81" s="94">
        <f t="shared" ref="M81:M94" si="26">L81+1.5</f>
        <v>5.82</v>
      </c>
    </row>
    <row r="82" spans="1:13" ht="15" customHeight="1">
      <c r="A82" s="134"/>
      <c r="B82" s="134"/>
      <c r="C82" s="94">
        <v>2</v>
      </c>
      <c r="D82" s="58" t="s">
        <v>123</v>
      </c>
      <c r="E82" s="55"/>
      <c r="F82" s="94">
        <v>50</v>
      </c>
      <c r="G82" s="94"/>
      <c r="H82" s="94"/>
      <c r="I82" s="56"/>
      <c r="J82" s="57">
        <f t="shared" si="24"/>
        <v>50</v>
      </c>
      <c r="K82" s="94">
        <f t="shared" si="25"/>
        <v>100</v>
      </c>
      <c r="L82" s="84">
        <f>K82*0.09</f>
        <v>9</v>
      </c>
      <c r="M82" s="94">
        <f t="shared" si="26"/>
        <v>10.5</v>
      </c>
    </row>
    <row r="83" spans="1:13" ht="15" customHeight="1">
      <c r="A83" s="134"/>
      <c r="B83" s="134"/>
      <c r="C83" s="94">
        <v>3</v>
      </c>
      <c r="D83" s="58" t="s">
        <v>124</v>
      </c>
      <c r="E83" s="55"/>
      <c r="F83" s="94"/>
      <c r="G83" s="94">
        <v>50</v>
      </c>
      <c r="H83" s="94"/>
      <c r="I83" s="56"/>
      <c r="J83" s="57">
        <f t="shared" si="24"/>
        <v>50</v>
      </c>
      <c r="K83" s="94">
        <f t="shared" si="25"/>
        <v>150</v>
      </c>
      <c r="L83" s="84">
        <f>K83*0.1</f>
        <v>15</v>
      </c>
      <c r="M83" s="94">
        <f t="shared" si="26"/>
        <v>16.5</v>
      </c>
    </row>
    <row r="84" spans="1:13" ht="15" customHeight="1">
      <c r="A84" s="134"/>
      <c r="B84" s="134"/>
      <c r="C84" s="94">
        <v>3</v>
      </c>
      <c r="D84" s="58" t="s">
        <v>125</v>
      </c>
      <c r="E84" s="55"/>
      <c r="F84" s="94"/>
      <c r="G84" s="94"/>
      <c r="H84" s="94">
        <v>50</v>
      </c>
      <c r="I84" s="56"/>
      <c r="J84" s="57">
        <f t="shared" si="24"/>
        <v>50</v>
      </c>
      <c r="K84" s="94">
        <f t="shared" si="25"/>
        <v>150</v>
      </c>
      <c r="L84" s="84">
        <f>K84*0.12</f>
        <v>18</v>
      </c>
      <c r="M84" s="94">
        <f t="shared" si="26"/>
        <v>19.5</v>
      </c>
    </row>
    <row r="85" spans="1:13" ht="15" customHeight="1">
      <c r="A85" s="134"/>
      <c r="B85" s="134"/>
      <c r="C85" s="94">
        <v>1</v>
      </c>
      <c r="D85" s="58" t="s">
        <v>126</v>
      </c>
      <c r="E85" s="55"/>
      <c r="F85" s="94"/>
      <c r="G85" s="94"/>
      <c r="H85" s="94"/>
      <c r="I85" s="56">
        <v>49</v>
      </c>
      <c r="J85" s="57">
        <f t="shared" si="24"/>
        <v>49</v>
      </c>
      <c r="K85" s="94">
        <f t="shared" si="25"/>
        <v>49</v>
      </c>
      <c r="L85" s="84">
        <f>K85*0.125</f>
        <v>6.125</v>
      </c>
      <c r="M85" s="94">
        <f t="shared" si="26"/>
        <v>7.625</v>
      </c>
    </row>
    <row r="86" spans="1:13" ht="15" customHeight="1" thickBot="1">
      <c r="A86" s="135"/>
      <c r="B86" s="135"/>
      <c r="C86" s="94">
        <v>1</v>
      </c>
      <c r="D86" s="58" t="s">
        <v>127</v>
      </c>
      <c r="E86" s="59"/>
      <c r="F86" s="60">
        <v>24</v>
      </c>
      <c r="G86" s="60">
        <v>5</v>
      </c>
      <c r="H86" s="60">
        <v>11</v>
      </c>
      <c r="I86" s="61"/>
      <c r="J86" s="57">
        <f t="shared" si="24"/>
        <v>40</v>
      </c>
      <c r="K86" s="94">
        <f t="shared" si="25"/>
        <v>40</v>
      </c>
      <c r="L86" s="94">
        <f>K86*0.09</f>
        <v>3.5999999999999996</v>
      </c>
      <c r="M86" s="94">
        <f t="shared" si="26"/>
        <v>5.0999999999999996</v>
      </c>
    </row>
    <row r="87" spans="1:13" ht="15" customHeight="1" thickBot="1">
      <c r="A87" s="80" t="s">
        <v>0</v>
      </c>
      <c r="B87" s="80"/>
      <c r="C87" s="81">
        <f>SUM(C81:C86)</f>
        <v>11</v>
      </c>
      <c r="D87" s="80"/>
      <c r="E87" s="91"/>
      <c r="F87" s="91"/>
      <c r="G87" s="91"/>
      <c r="H87" s="91"/>
      <c r="I87" s="91"/>
      <c r="J87" s="80"/>
      <c r="K87" s="82">
        <f>SUM(K81:K86)</f>
        <v>537</v>
      </c>
      <c r="L87" s="92">
        <f>SUM(L81:L86)</f>
        <v>56.045000000000002</v>
      </c>
      <c r="M87" s="92">
        <f>SUM(M81:M86)</f>
        <v>65.045000000000002</v>
      </c>
    </row>
    <row r="88" spans="1:13" ht="24.75" customHeight="1">
      <c r="A88" s="140" t="s">
        <v>146</v>
      </c>
      <c r="B88" s="140"/>
      <c r="C88" s="94">
        <v>1</v>
      </c>
      <c r="D88" s="58" t="s">
        <v>128</v>
      </c>
      <c r="E88" s="50">
        <v>49</v>
      </c>
      <c r="F88" s="51"/>
      <c r="G88" s="51"/>
      <c r="H88" s="51"/>
      <c r="I88" s="52"/>
      <c r="J88" s="57">
        <f t="shared" ref="J88:J94" si="27">SUM(E88:I88)</f>
        <v>49</v>
      </c>
      <c r="K88" s="94">
        <f t="shared" ref="K88:K93" si="28">J88*C88</f>
        <v>49</v>
      </c>
      <c r="L88" s="94">
        <f>K88*0.09</f>
        <v>4.41</v>
      </c>
      <c r="M88" s="94">
        <f t="shared" si="26"/>
        <v>5.91</v>
      </c>
    </row>
    <row r="89" spans="1:13" ht="15" customHeight="1">
      <c r="A89" s="134"/>
      <c r="B89" s="134"/>
      <c r="C89" s="94">
        <v>2</v>
      </c>
      <c r="D89" s="58" t="s">
        <v>129</v>
      </c>
      <c r="E89" s="55"/>
      <c r="F89" s="94">
        <v>50</v>
      </c>
      <c r="G89" s="94"/>
      <c r="H89" s="94"/>
      <c r="I89" s="56"/>
      <c r="J89" s="57">
        <f t="shared" si="27"/>
        <v>50</v>
      </c>
      <c r="K89" s="94">
        <f t="shared" si="28"/>
        <v>100</v>
      </c>
      <c r="L89" s="84">
        <f>K89*0.09</f>
        <v>9</v>
      </c>
      <c r="M89" s="94">
        <f t="shared" si="26"/>
        <v>10.5</v>
      </c>
    </row>
    <row r="90" spans="1:13" ht="15" customHeight="1">
      <c r="A90" s="134"/>
      <c r="B90" s="134"/>
      <c r="C90" s="94">
        <v>2</v>
      </c>
      <c r="D90" s="58" t="s">
        <v>130</v>
      </c>
      <c r="E90" s="55"/>
      <c r="F90" s="94"/>
      <c r="G90" s="94">
        <v>50</v>
      </c>
      <c r="H90" s="94"/>
      <c r="I90" s="56"/>
      <c r="J90" s="57">
        <f t="shared" si="27"/>
        <v>50</v>
      </c>
      <c r="K90" s="94">
        <f t="shared" si="28"/>
        <v>100</v>
      </c>
      <c r="L90" s="84">
        <f>K90*0.1</f>
        <v>10</v>
      </c>
      <c r="M90" s="94">
        <f t="shared" si="26"/>
        <v>11.5</v>
      </c>
    </row>
    <row r="91" spans="1:13" ht="15" customHeight="1">
      <c r="A91" s="134"/>
      <c r="B91" s="134"/>
      <c r="C91" s="94">
        <v>1</v>
      </c>
      <c r="D91" s="58" t="s">
        <v>131</v>
      </c>
      <c r="E91" s="55"/>
      <c r="F91" s="94"/>
      <c r="G91" s="94">
        <v>49</v>
      </c>
      <c r="H91" s="94"/>
      <c r="I91" s="56"/>
      <c r="J91" s="57">
        <f t="shared" si="27"/>
        <v>49</v>
      </c>
      <c r="K91" s="94">
        <f t="shared" si="28"/>
        <v>49</v>
      </c>
      <c r="L91" s="84">
        <f>K91*0.12</f>
        <v>5.88</v>
      </c>
      <c r="M91" s="94">
        <f t="shared" si="26"/>
        <v>7.38</v>
      </c>
    </row>
    <row r="92" spans="1:13" ht="15" customHeight="1">
      <c r="A92" s="134"/>
      <c r="B92" s="134"/>
      <c r="C92" s="94">
        <v>3</v>
      </c>
      <c r="D92" s="58" t="s">
        <v>132</v>
      </c>
      <c r="E92" s="55"/>
      <c r="F92" s="94"/>
      <c r="G92" s="94"/>
      <c r="H92" s="94">
        <v>50</v>
      </c>
      <c r="I92" s="56"/>
      <c r="J92" s="57">
        <f t="shared" si="27"/>
        <v>50</v>
      </c>
      <c r="K92" s="94">
        <f t="shared" si="28"/>
        <v>150</v>
      </c>
      <c r="L92" s="84">
        <f>K92*0.125</f>
        <v>18.75</v>
      </c>
      <c r="M92" s="94">
        <f t="shared" si="26"/>
        <v>20.25</v>
      </c>
    </row>
    <row r="93" spans="1:13" ht="15" customHeight="1">
      <c r="A93" s="134"/>
      <c r="B93" s="134"/>
      <c r="C93" s="94">
        <v>1</v>
      </c>
      <c r="D93" s="58" t="s">
        <v>133</v>
      </c>
      <c r="E93" s="75"/>
      <c r="F93" s="48"/>
      <c r="G93" s="48"/>
      <c r="H93" s="48"/>
      <c r="I93" s="76">
        <v>47</v>
      </c>
      <c r="J93" s="57">
        <f t="shared" si="27"/>
        <v>47</v>
      </c>
      <c r="K93" s="94">
        <f t="shared" si="28"/>
        <v>47</v>
      </c>
      <c r="L93" s="94">
        <f>K93*0.09</f>
        <v>4.2299999999999995</v>
      </c>
      <c r="M93" s="94">
        <f t="shared" si="26"/>
        <v>5.7299999999999995</v>
      </c>
    </row>
    <row r="94" spans="1:13" ht="15" customHeight="1" thickBot="1">
      <c r="A94" s="135"/>
      <c r="B94" s="135"/>
      <c r="C94" s="48">
        <v>1</v>
      </c>
      <c r="D94" s="74" t="s">
        <v>134</v>
      </c>
      <c r="E94" s="59"/>
      <c r="F94" s="60">
        <v>24</v>
      </c>
      <c r="G94" s="60"/>
      <c r="H94" s="60">
        <v>7</v>
      </c>
      <c r="I94" s="61"/>
      <c r="J94" s="57">
        <f t="shared" si="27"/>
        <v>31</v>
      </c>
      <c r="K94" s="57">
        <f>J94*C94</f>
        <v>31</v>
      </c>
      <c r="L94" s="94">
        <f>K94*0.09</f>
        <v>2.79</v>
      </c>
      <c r="M94" s="94">
        <f t="shared" si="26"/>
        <v>4.29</v>
      </c>
    </row>
    <row r="95" spans="1:13" ht="15" customHeight="1" thickBot="1">
      <c r="A95" s="80" t="s">
        <v>0</v>
      </c>
      <c r="B95" s="80"/>
      <c r="C95" s="81">
        <f>SUM(C88:C94)</f>
        <v>11</v>
      </c>
      <c r="D95" s="80"/>
      <c r="E95" s="91"/>
      <c r="F95" s="91"/>
      <c r="G95" s="91"/>
      <c r="H95" s="91"/>
      <c r="I95" s="91"/>
      <c r="J95" s="80"/>
      <c r="K95" s="82">
        <f>SUM(K88:K94)</f>
        <v>526</v>
      </c>
      <c r="L95" s="92">
        <f>SUM(L88:L94)</f>
        <v>55.059999999999995</v>
      </c>
      <c r="M95" s="92">
        <f>SUM(M88:M94)</f>
        <v>65.56</v>
      </c>
    </row>
    <row r="96" spans="1:13">
      <c r="A96" s="70" t="s">
        <v>71</v>
      </c>
      <c r="B96" s="70"/>
      <c r="C96" s="77">
        <f>C17+C25+C33+C42+C50+C66+C73+C80+C87+C95</f>
        <v>110</v>
      </c>
      <c r="D96" s="78"/>
      <c r="E96" s="70"/>
      <c r="F96" s="71"/>
      <c r="G96" s="66"/>
      <c r="H96" s="72"/>
      <c r="I96" s="72"/>
      <c r="J96" s="72"/>
      <c r="K96" s="79">
        <f>K17+K25+K33+K42+K50+K66+K73+K80+K87+K95</f>
        <v>5370</v>
      </c>
      <c r="L96" s="93">
        <f>L17+L25+L33+L42+L50+L66+L73+L80+L87+L95</f>
        <v>560.58500000000004</v>
      </c>
      <c r="M96" s="93">
        <f>M17+M25+M33+M42+M50+M66+M73+M80+M87+M95</f>
        <v>646.26499999999987</v>
      </c>
    </row>
    <row r="97" spans="1:13">
      <c r="A97" s="127" t="s">
        <v>57</v>
      </c>
      <c r="B97" s="128"/>
      <c r="C97" s="128"/>
      <c r="D97" s="129"/>
      <c r="E97" s="130">
        <v>5000</v>
      </c>
      <c r="F97" s="131"/>
      <c r="G97" s="101" t="s">
        <v>4</v>
      </c>
      <c r="H97" s="102"/>
      <c r="I97" s="102"/>
      <c r="J97" s="102"/>
      <c r="K97" s="102"/>
      <c r="L97" s="102"/>
      <c r="M97" s="103"/>
    </row>
    <row r="98" spans="1:13">
      <c r="A98" s="127" t="s">
        <v>58</v>
      </c>
      <c r="B98" s="128"/>
      <c r="C98" s="128"/>
      <c r="D98" s="129"/>
      <c r="E98" s="130">
        <f>K96</f>
        <v>5370</v>
      </c>
      <c r="F98" s="131"/>
      <c r="G98" s="101" t="s">
        <v>4</v>
      </c>
      <c r="M98" s="104"/>
    </row>
    <row r="99" spans="1:13">
      <c r="A99" s="127" t="s">
        <v>59</v>
      </c>
      <c r="B99" s="128"/>
      <c r="C99" s="128"/>
      <c r="D99" s="129"/>
      <c r="E99" s="137">
        <f>L96</f>
        <v>560.58500000000004</v>
      </c>
      <c r="F99" s="131"/>
      <c r="G99" s="101" t="s">
        <v>5</v>
      </c>
      <c r="M99" s="104"/>
    </row>
    <row r="100" spans="1:13">
      <c r="A100" s="127" t="s">
        <v>60</v>
      </c>
      <c r="B100" s="128"/>
      <c r="C100" s="128"/>
      <c r="D100" s="129"/>
      <c r="E100" s="137">
        <f>M96</f>
        <v>646.26499999999987</v>
      </c>
      <c r="F100" s="131"/>
      <c r="G100" s="101" t="s">
        <v>5</v>
      </c>
      <c r="M100" s="104"/>
    </row>
    <row r="101" spans="1:13">
      <c r="A101" s="127" t="s">
        <v>2</v>
      </c>
      <c r="B101" s="128"/>
      <c r="C101" s="128"/>
      <c r="D101" s="129"/>
      <c r="E101" s="130">
        <f>(50*30*20)/1000000*110</f>
        <v>3.3</v>
      </c>
      <c r="F101" s="131"/>
      <c r="G101" s="101" t="s">
        <v>3</v>
      </c>
      <c r="M101" s="104"/>
    </row>
    <row r="102" spans="1:13">
      <c r="A102" s="127" t="s">
        <v>61</v>
      </c>
      <c r="B102" s="128"/>
      <c r="C102" s="128"/>
      <c r="D102" s="129"/>
      <c r="E102" s="136">
        <f>C96</f>
        <v>110</v>
      </c>
      <c r="F102" s="131"/>
      <c r="G102" s="101" t="s">
        <v>65</v>
      </c>
      <c r="H102" s="105"/>
      <c r="I102" s="105"/>
      <c r="J102" s="105"/>
      <c r="K102" s="105"/>
      <c r="L102" s="105"/>
      <c r="M102" s="106"/>
    </row>
  </sheetData>
  <mergeCells count="57">
    <mergeCell ref="A81:A86"/>
    <mergeCell ref="B81:B86"/>
    <mergeCell ref="A98:D98"/>
    <mergeCell ref="E98:F98"/>
    <mergeCell ref="B9:B10"/>
    <mergeCell ref="B11:B16"/>
    <mergeCell ref="A11:A16"/>
    <mergeCell ref="A19:A24"/>
    <mergeCell ref="B19:B24"/>
    <mergeCell ref="A36:A41"/>
    <mergeCell ref="B36:B41"/>
    <mergeCell ref="A44:A49"/>
    <mergeCell ref="B44:B49"/>
    <mergeCell ref="A60:A65"/>
    <mergeCell ref="B60:B65"/>
    <mergeCell ref="A88:A94"/>
    <mergeCell ref="B88:B94"/>
    <mergeCell ref="A74:A79"/>
    <mergeCell ref="A102:D102"/>
    <mergeCell ref="E102:F102"/>
    <mergeCell ref="A99:D99"/>
    <mergeCell ref="E99:F99"/>
    <mergeCell ref="A100:D100"/>
    <mergeCell ref="E100:F100"/>
    <mergeCell ref="A101:D101"/>
    <mergeCell ref="E101:F101"/>
    <mergeCell ref="L9:L10"/>
    <mergeCell ref="M9:M10"/>
    <mergeCell ref="A35:M35"/>
    <mergeCell ref="A97:D97"/>
    <mergeCell ref="E97:F97"/>
    <mergeCell ref="A9:A10"/>
    <mergeCell ref="C9:C10"/>
    <mergeCell ref="D9:D10"/>
    <mergeCell ref="E9:H9"/>
    <mergeCell ref="J9:J10"/>
    <mergeCell ref="K9:K10"/>
    <mergeCell ref="A27:A32"/>
    <mergeCell ref="B27:B32"/>
    <mergeCell ref="B74:B79"/>
    <mergeCell ref="A67:A72"/>
    <mergeCell ref="B67:B72"/>
    <mergeCell ref="A6:D6"/>
    <mergeCell ref="E6:M6"/>
    <mergeCell ref="A7:D7"/>
    <mergeCell ref="E7:F7"/>
    <mergeCell ref="A8:D8"/>
    <mergeCell ref="E8:F8"/>
    <mergeCell ref="H8:J8"/>
    <mergeCell ref="K8:L8"/>
    <mergeCell ref="A5:D5"/>
    <mergeCell ref="E5:M5"/>
    <mergeCell ref="A1:M1"/>
    <mergeCell ref="A2:M2"/>
    <mergeCell ref="A3:D3"/>
    <mergeCell ref="A4:D4"/>
    <mergeCell ref="E4:M4"/>
  </mergeCells>
  <printOptions horizontalCentered="1"/>
  <pageMargins left="0.5" right="0.25" top="0.5" bottom="0.25" header="0.3" footer="0.3"/>
  <pageSetup paperSize="9" scale="90" fitToHeight="2" orientation="portrait" r:id="rId1"/>
  <rowBreaks count="1" manualBreakCount="1">
    <brk id="4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PO # 5885202</vt:lpstr>
      <vt:lpstr>BOYES T-SHIRT</vt:lpstr>
      <vt:lpstr>'BOYES T-SHIRT'!Print_Area</vt:lpstr>
    </vt:vector>
  </TitlesOfParts>
  <Company>Novel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Jahir</dc:creator>
  <cp:lastModifiedBy>Sirajul Islam</cp:lastModifiedBy>
  <cp:lastPrinted>2026-02-02T11:18:22Z</cp:lastPrinted>
  <dcterms:created xsi:type="dcterms:W3CDTF">2005-07-09T11:41:59Z</dcterms:created>
  <dcterms:modified xsi:type="dcterms:W3CDTF">2026-02-02T11:18:26Z</dcterms:modified>
</cp:coreProperties>
</file>